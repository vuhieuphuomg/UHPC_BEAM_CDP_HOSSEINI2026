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ATCH_MATERIAL" sheetId="2" state="visible" r:id="rId2"/>
    <sheet xmlns:r="http://schemas.openxmlformats.org/officeDocument/2006/relationships" name="02_REBAR" sheetId="3" state="visible" r:id="rId3"/>
    <sheet xmlns:r="http://schemas.openxmlformats.org/officeDocument/2006/relationships" name="03_GEOMETRY" sheetId="4" state="visible" r:id="rId4"/>
    <sheet xmlns:r="http://schemas.openxmlformats.org/officeDocument/2006/relationships" name="04_SPECIMENS" sheetId="5" state="visible" r:id="rId5"/>
    <sheet xmlns:r="http://schemas.openxmlformats.org/officeDocument/2006/relationships" name="05_FIG2_CURVES" sheetId="6" state="visible" r:id="rId6"/>
    <sheet xmlns:r="http://schemas.openxmlformats.org/officeDocument/2006/relationships" name="06_CDP_DATA_GAPS" sheetId="7" state="visible" r:id="rId7"/>
    <sheet xmlns:r="http://schemas.openxmlformats.org/officeDocument/2006/relationships" name="07_PRE_FLIGHT" sheetId="8" state="visible" r:id="rId8"/>
    <sheet xmlns:r="http://schemas.openxmlformats.org/officeDocument/2006/relationships" name="08_CDP_PEAK_AUDIT" sheetId="9" state="visible" r:id="rId9"/>
  </sheets>
  <definedNames>
    <definedName name="_xlnm._FilterDatabase" localSheetId="1" hidden="1">'01_BATCH_MATERIAL'!$A$1:$W$4</definedName>
    <definedName name="_xlnm._FilterDatabase" localSheetId="2" hidden="1">'02_REBAR'!$A$1:$I$5</definedName>
    <definedName name="_xlnm._FilterDatabase" localSheetId="4" hidden="1">'04_SPECIMENS'!$A$1:$R$13</definedName>
    <definedName name="_xlnm._FilterDatabase" localSheetId="5" hidden="1">'05_FIG2_CURVES'!$A$1:$I$301</definedName>
    <definedName name="_xlnm._FilterDatabase" localSheetId="6" hidden="1">'06_CDP_DATA_GAPS'!$A$1:$F$21</definedName>
    <definedName name="_xlnm._FilterDatabase" localSheetId="7" hidden="1">'07_PRE_FLIGHT'!$A$1:$C$11</definedName>
    <definedName name="_xlnm._FilterDatabase" localSheetId="8" hidden="1">'08_CDP_PEAK_AUDIT'!$A$1:$I$4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5703E"/>
    </font>
    <font>
      <b val="1"/>
      <color rgb="00B32020"/>
    </font>
    <font>
      <b val="1"/>
      <color rgb="001F6EAF"/>
    </font>
    <font>
      <b val="1"/>
      <color rgb="00FFFFFF"/>
    </font>
    <font>
      <color rgb="00166899"/>
    </font>
    <font>
      <color rgb="004D4D4D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164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9" customWidth="1" min="2" max="2"/>
  </cols>
  <sheetData>
    <row r="1" ht="38" customHeight="1">
      <c r="A1" s="1" t="inlineStr">
        <is>
          <t>HOSSEINI 2026 - EVIDENCE-LOCKED ABAQUS CDP HANDOVER</t>
        </is>
      </c>
      <c r="B1" s="1" t="n"/>
    </row>
    <row r="2">
      <c r="A2" s="2" t="inlineStr">
        <is>
          <t>Version</t>
        </is>
      </c>
      <c r="B2" s="2" t="inlineStr">
        <is>
          <t>2026-10-16 / V1 - SOURCE EXTRACTED; CDP NOT RELEASED</t>
        </is>
      </c>
    </row>
    <row r="3">
      <c r="A3" s="2" t="inlineStr">
        <is>
          <t>Source</t>
        </is>
      </c>
      <c r="B3" s="2" t="inlineStr">
        <is>
          <t>https://doi.org/10.1016/j.engstruct.2025.121810</t>
        </is>
      </c>
    </row>
    <row r="4">
      <c r="A4" s="2" t="inlineStr">
        <is>
          <t>Drive PDF</t>
        </is>
      </c>
      <c r="B4" s="2" t="inlineStr">
        <is>
          <t>https://drive.google.com/file/d/1TUkaMsIZJr7iJ6plnbLnr89tA95ONGga/view</t>
        </is>
      </c>
    </row>
    <row r="5">
      <c r="A5" s="3" t="inlineStr">
        <is>
          <t>REPORTED</t>
        </is>
      </c>
      <c r="B5" s="2" t="inlineStr">
        <is>
          <t>Direct values from Tables 1-4 and Fig.1, with page noted</t>
        </is>
      </c>
    </row>
    <row r="6">
      <c r="A6" s="2" t="inlineStr">
        <is>
          <t>FIGURE_DIGITIZED_APPROX</t>
        </is>
      </c>
      <c r="B6" s="2" t="inlineStr">
        <is>
          <t>Approximate reconstruction from Fig.2 vector art, not authors raw data</t>
        </is>
      </c>
    </row>
    <row r="7">
      <c r="A7" s="3" t="inlineStr">
        <is>
          <t>DERIVED</t>
        </is>
      </c>
      <c r="B7" s="2" t="inlineStr">
        <is>
          <t>Computed from published geometry using equations shown</t>
        </is>
      </c>
    </row>
    <row r="8">
      <c r="A8" s="4" t="inlineStr">
        <is>
          <t>MISSING</t>
        </is>
      </c>
      <c r="B8" s="2" t="inlineStr">
        <is>
          <t>Cannot fill without underlying test curve or constitutive assumption</t>
        </is>
      </c>
    </row>
    <row r="9">
      <c r="A9" s="2" t="inlineStr">
        <is>
          <t>DO NOT ASSUME</t>
        </is>
      </c>
      <c r="B9" s="2" t="inlineStr">
        <is>
          <t>Batches 1/2 share Vf=2% but have distinct material means; curve Fig2b is representative, unassigned to batch</t>
        </is>
      </c>
    </row>
    <row r="10">
      <c r="A10" s="2" t="inlineStr">
        <is>
          <t>DO NOT ASSUME</t>
        </is>
      </c>
      <c r="B10" s="2" t="inlineStr">
        <is>
          <t>Gauge strain EPS_t,cr is not automatically Abaqus tensile cracking strain</t>
        </is>
      </c>
    </row>
    <row r="11">
      <c r="A11" s="2" t="inlineStr">
        <is>
          <t>DO NOT ASSUME</t>
        </is>
      </c>
      <c r="B11" s="2" t="inlineStr">
        <is>
          <t>Fig2a bending force/deflection is NOT sigma-w</t>
        </is>
      </c>
    </row>
    <row r="12">
      <c r="A12" s="2" t="inlineStr">
        <is>
          <t>DO NOT ASSUME</t>
        </is>
      </c>
      <c r="B12" s="2" t="inlineStr">
        <is>
          <t>HSS ultimate stress alone does not define the full plastic hardening curve</t>
        </is>
      </c>
    </row>
    <row r="13">
      <c r="A13" s="2" t="inlineStr">
        <is>
          <t>DO NOT ASSUME</t>
        </is>
      </c>
      <c r="B13" s="2" t="inlineStr">
        <is>
          <t>Stress-strain tail of Fig2b is NOT a complete post-localization fracture law</t>
        </is>
      </c>
    </row>
    <row r="14">
      <c r="A14" s="2" t="inlineStr">
        <is>
          <t>MODEL GATE</t>
        </is>
      </c>
      <c r="B14" s="2" t="inlineStr">
        <is>
          <t>Need GF or full sigma-w; compressive post-peak; CDP flow values with provenance; steel hardening / actual longitudinal top bars</t>
        </is>
      </c>
    </row>
    <row r="15">
      <c r="A15" s="2" t="inlineStr">
        <is>
          <t>PRIMARY VALIDATION</t>
        </is>
      </c>
      <c r="B15" s="2" t="inlineStr">
        <is>
          <t>Vf1-r0-2p7 and Vf2-r0-2p7 (diagonal tension contrast), then a/d 1.7 compression strut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6" customWidth="1" min="12" max="12"/>
    <col width="13" customWidth="1" min="13" max="13"/>
    <col width="13" customWidth="1" min="14" max="14"/>
    <col width="14" customWidth="1" min="15" max="15"/>
    <col width="15" customWidth="1" min="16" max="16"/>
    <col width="20" customWidth="1" min="17" max="17"/>
    <col width="19" customWidth="1" min="18" max="18"/>
    <col width="18" customWidth="1" min="19" max="19"/>
    <col width="17" customWidth="1" min="20" max="20"/>
    <col width="13" customWidth="1" min="21" max="21"/>
    <col width="13" customWidth="1" min="22" max="22"/>
    <col width="49" customWidth="1" min="23" max="23"/>
  </cols>
  <sheetData>
    <row r="1" ht="38" customHeight="1">
      <c r="A1" s="1" t="inlineStr">
        <is>
          <t>Batch ID</t>
        </is>
      </c>
      <c r="B1" s="1" t="inlineStr">
        <is>
          <t>Vf %</t>
        </is>
      </c>
      <c r="C1" s="1" t="inlineStr">
        <is>
          <t>fc MPa</t>
        </is>
      </c>
      <c r="D1" s="1" t="inlineStr">
        <is>
          <t>fc SD MPa</t>
        </is>
      </c>
      <c r="E1" s="1" t="inlineStr">
        <is>
          <t>Ec GPa</t>
        </is>
      </c>
      <c r="F1" s="1" t="inlineStr">
        <is>
          <t>Ec SD GPa</t>
        </is>
      </c>
      <c r="G1" s="1" t="inlineStr">
        <is>
          <t>eps_cp %</t>
        </is>
      </c>
      <c r="H1" s="1" t="inlineStr">
        <is>
          <t>eps_cp SD %</t>
        </is>
      </c>
      <c r="I1" s="1" t="inlineStr">
        <is>
          <t>ft_cr MPa</t>
        </is>
      </c>
      <c r="J1" s="1" t="inlineStr">
        <is>
          <t>ft_cr SD</t>
        </is>
      </c>
      <c r="K1" s="1" t="inlineStr">
        <is>
          <t>eps_t_cr %</t>
        </is>
      </c>
      <c r="L1" s="1" t="inlineStr">
        <is>
          <t>eps_t_cr SD %</t>
        </is>
      </c>
      <c r="M1" s="1" t="inlineStr">
        <is>
          <t>ft_loc MPa</t>
        </is>
      </c>
      <c r="N1" s="1" t="inlineStr">
        <is>
          <t>ft_loc SD</t>
        </is>
      </c>
      <c r="O1" s="1" t="inlineStr">
        <is>
          <t>eps_t_loc %</t>
        </is>
      </c>
      <c r="P1" s="1" t="inlineStr">
        <is>
          <t>eps_t_loc SD</t>
        </is>
      </c>
      <c r="Q1" s="1" t="inlineStr">
        <is>
          <t>inverse_ft_cr MPa</t>
        </is>
      </c>
      <c r="R1" s="1" t="inlineStr">
        <is>
          <t>inverse_ft_cr SD</t>
        </is>
      </c>
      <c r="S1" s="1" t="inlineStr">
        <is>
          <t>inverse_fFu MPa</t>
        </is>
      </c>
      <c r="T1" s="1" t="inlineStr">
        <is>
          <t>inverse_fFu SD</t>
        </is>
      </c>
      <c r="U1" s="1" t="inlineStr">
        <is>
          <t>Page</t>
        </is>
      </c>
      <c r="V1" s="1" t="inlineStr">
        <is>
          <t>Evidence</t>
        </is>
      </c>
      <c r="W1" s="1" t="inlineStr">
        <is>
          <t>Source</t>
        </is>
      </c>
    </row>
    <row r="2">
      <c r="A2" s="2" t="n">
        <v>1</v>
      </c>
      <c r="B2" s="2" t="n">
        <v>2</v>
      </c>
      <c r="C2" s="2" t="n">
        <v>152.8</v>
      </c>
      <c r="D2" s="2" t="n">
        <v>9.300000000000001</v>
      </c>
      <c r="E2" s="2" t="n">
        <v>46</v>
      </c>
      <c r="F2" s="2" t="n">
        <v>0.5</v>
      </c>
      <c r="G2" s="2" t="n">
        <v>0.35</v>
      </c>
      <c r="H2" s="2" t="n">
        <v>0.06</v>
      </c>
      <c r="I2" s="2" t="n">
        <v>9</v>
      </c>
      <c r="J2" s="2" t="n">
        <v>0.8</v>
      </c>
      <c r="K2" s="2" t="n">
        <v>0.16</v>
      </c>
      <c r="L2" s="2" t="n">
        <v>0.04</v>
      </c>
      <c r="M2" s="2" t="n">
        <v>10</v>
      </c>
      <c r="N2" s="2" t="n">
        <v>0.8</v>
      </c>
      <c r="O2" s="2" t="n">
        <v>0.5</v>
      </c>
      <c r="P2" s="2" t="n">
        <v>0.04</v>
      </c>
      <c r="Q2" s="2" t="n">
        <v>8.800000000000001</v>
      </c>
      <c r="R2" s="2" t="n">
        <v>1.2</v>
      </c>
      <c r="S2" s="2" t="n">
        <v>12</v>
      </c>
      <c r="T2" s="2" t="n">
        <v>1.2</v>
      </c>
      <c r="U2" s="2" t="n">
        <v>4</v>
      </c>
      <c r="V2" s="3" t="inlineStr">
        <is>
          <t>REPORTED</t>
        </is>
      </c>
      <c r="W2" s="2" t="inlineStr">
        <is>
          <t>https://doi.org/10.1016/j.engstruct.2025.121810</t>
        </is>
      </c>
    </row>
    <row r="3">
      <c r="A3" s="2" t="n">
        <v>2</v>
      </c>
      <c r="B3" s="2" t="n">
        <v>2</v>
      </c>
      <c r="C3" s="2" t="n">
        <v>153.2</v>
      </c>
      <c r="D3" s="2" t="n">
        <v>9.6</v>
      </c>
      <c r="E3" s="2" t="n">
        <v>47.3</v>
      </c>
      <c r="F3" s="2" t="n">
        <v>2.1</v>
      </c>
      <c r="G3" s="2" t="n">
        <v>0.32</v>
      </c>
      <c r="H3" s="2" t="n">
        <v>0.05</v>
      </c>
      <c r="I3" s="2" t="n">
        <v>8.800000000000001</v>
      </c>
      <c r="J3" s="2" t="n">
        <v>1.2</v>
      </c>
      <c r="K3" s="2" t="n">
        <v>0.15</v>
      </c>
      <c r="L3" s="2" t="n">
        <v>0.03</v>
      </c>
      <c r="M3" s="2" t="n">
        <v>9.300000000000001</v>
      </c>
      <c r="N3" s="2" t="n">
        <v>1.2</v>
      </c>
      <c r="O3" s="2" t="n">
        <v>0.5</v>
      </c>
      <c r="P3" s="2" t="n">
        <v>0.01</v>
      </c>
      <c r="Q3" s="2" t="n">
        <v>9</v>
      </c>
      <c r="R3" s="2" t="n">
        <v>0.8</v>
      </c>
      <c r="S3" s="2" t="n">
        <v>10.8</v>
      </c>
      <c r="T3" s="2" t="n">
        <v>0.8</v>
      </c>
      <c r="U3" s="2" t="n">
        <v>4</v>
      </c>
      <c r="V3" s="3" t="inlineStr">
        <is>
          <t>REPORTED</t>
        </is>
      </c>
      <c r="W3" s="2" t="inlineStr">
        <is>
          <t>https://doi.org/10.1016/j.engstruct.2025.121810</t>
        </is>
      </c>
    </row>
    <row r="4">
      <c r="A4" s="2" t="n">
        <v>3</v>
      </c>
      <c r="B4" s="2" t="n">
        <v>1</v>
      </c>
      <c r="C4" s="2" t="n">
        <v>166.4</v>
      </c>
      <c r="D4" s="2" t="n">
        <v>4.4</v>
      </c>
      <c r="E4" s="2" t="n">
        <v>45.4</v>
      </c>
      <c r="F4" s="2" t="n">
        <v>1.1</v>
      </c>
      <c r="G4" s="2" t="n">
        <v>0.4</v>
      </c>
      <c r="H4" s="2" t="n">
        <v>0.04</v>
      </c>
      <c r="I4" s="2" t="n">
        <v>6</v>
      </c>
      <c r="J4" s="2" t="n">
        <v>1</v>
      </c>
      <c r="K4" s="2" t="n">
        <v>0.1</v>
      </c>
      <c r="L4" s="2" t="n">
        <v>0.04</v>
      </c>
      <c r="M4" s="2" t="n">
        <v>7.5</v>
      </c>
      <c r="N4" s="2" t="n">
        <v>1</v>
      </c>
      <c r="O4" s="2" t="n">
        <v>0.27</v>
      </c>
      <c r="P4" s="2" t="n">
        <v>0.02</v>
      </c>
      <c r="Q4" s="2" t="n">
        <v>5.3</v>
      </c>
      <c r="R4" s="2" t="n">
        <v>2</v>
      </c>
      <c r="S4" s="2" t="n">
        <v>7.8</v>
      </c>
      <c r="T4" s="2" t="n">
        <v>0.4</v>
      </c>
      <c r="U4" s="2" t="n">
        <v>4</v>
      </c>
      <c r="V4" s="3" t="inlineStr">
        <is>
          <t>REPORTED</t>
        </is>
      </c>
      <c r="W4" s="2" t="inlineStr">
        <is>
          <t>https://doi.org/10.1016/j.engstruct.2025.121810</t>
        </is>
      </c>
    </row>
  </sheetData>
  <autoFilter ref="A1:W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1" customWidth="1" min="7" max="7"/>
    <col width="13" customWidth="1" min="8" max="8"/>
    <col width="49" customWidth="1" min="9" max="9"/>
  </cols>
  <sheetData>
    <row r="1" ht="38" customHeight="1">
      <c r="A1" s="1" t="inlineStr">
        <is>
          <t>Bar ID</t>
        </is>
      </c>
      <c r="B1" s="1" t="inlineStr">
        <is>
          <t>Steel grade</t>
        </is>
      </c>
      <c r="C1" s="1" t="inlineStr">
        <is>
          <t>Dia mm</t>
        </is>
      </c>
      <c r="D1" s="1" t="inlineStr">
        <is>
          <t>fy MPa</t>
        </is>
      </c>
      <c r="E1" s="1" t="inlineStr">
        <is>
          <t>fu MPa</t>
        </is>
      </c>
      <c r="F1" s="1" t="inlineStr">
        <is>
          <t>E GPa</t>
        </is>
      </c>
      <c r="G1" s="1" t="inlineStr">
        <is>
          <t>Evidence / caution</t>
        </is>
      </c>
      <c r="H1" s="1" t="inlineStr">
        <is>
          <t>Page</t>
        </is>
      </c>
      <c r="I1" s="1" t="inlineStr">
        <is>
          <t>Source</t>
        </is>
      </c>
    </row>
    <row r="2">
      <c r="A2" s="2" t="inlineStr">
        <is>
          <t>10M</t>
        </is>
      </c>
      <c r="B2" s="2" t="inlineStr">
        <is>
          <t>Grade 500</t>
        </is>
      </c>
      <c r="C2" s="2" t="n">
        <v>11.3</v>
      </c>
      <c r="D2" s="2" t="n">
        <v>463</v>
      </c>
      <c r="E2" s="2" t="n">
        <v>600</v>
      </c>
      <c r="F2" s="2" t="n">
        <v>208</v>
      </c>
      <c r="G2" s="2" t="inlineStr">
        <is>
          <t>Tested, Table 3</t>
        </is>
      </c>
      <c r="H2" s="2" t="n">
        <v>6</v>
      </c>
      <c r="I2" s="2" t="inlineStr">
        <is>
          <t>https://doi.org/10.1016/j.engstruct.2025.121810</t>
        </is>
      </c>
    </row>
    <row r="3">
      <c r="A3" s="2" t="inlineStr">
        <is>
          <t>M#3</t>
        </is>
      </c>
      <c r="B3" s="2" t="inlineStr">
        <is>
          <t>MMFX 4100</t>
        </is>
      </c>
      <c r="C3" s="2" t="n">
        <v>9.5</v>
      </c>
      <c r="D3" s="2" t="n">
        <v>684</v>
      </c>
      <c r="E3" s="2" t="n">
        <v>1142</v>
      </c>
      <c r="F3" s="2" t="n">
        <v>196</v>
      </c>
      <c r="G3" s="2" t="inlineStr">
        <is>
          <t>fy/fu/E approximated from M#4, Table 3 note</t>
        </is>
      </c>
      <c r="H3" s="2" t="n">
        <v>6</v>
      </c>
      <c r="I3" s="2" t="inlineStr">
        <is>
          <t>https://doi.org/10.1016/j.engstruct.2025.121810</t>
        </is>
      </c>
    </row>
    <row r="4">
      <c r="A4" s="2" t="inlineStr">
        <is>
          <t>M#4</t>
        </is>
      </c>
      <c r="B4" s="2" t="inlineStr">
        <is>
          <t>MMFX 4100</t>
        </is>
      </c>
      <c r="C4" s="2" t="n">
        <v>12.7</v>
      </c>
      <c r="D4" s="2" t="n">
        <v>684</v>
      </c>
      <c r="E4" s="2" t="n">
        <v>1142</v>
      </c>
      <c r="F4" s="2" t="n">
        <v>196</v>
      </c>
      <c r="G4" s="2" t="inlineStr">
        <is>
          <t>Tested, Table 3</t>
        </is>
      </c>
      <c r="H4" s="2" t="n">
        <v>6</v>
      </c>
      <c r="I4" s="2" t="inlineStr">
        <is>
          <t>https://doi.org/10.1016/j.engstruct.2025.121810</t>
        </is>
      </c>
    </row>
    <row r="5">
      <c r="A5" s="2" t="inlineStr">
        <is>
          <t>M#10</t>
        </is>
      </c>
      <c r="B5" s="2" t="inlineStr">
        <is>
          <t>MMFX 4100</t>
        </is>
      </c>
      <c r="C5" s="2" t="n">
        <v>32.3</v>
      </c>
      <c r="D5" s="2" t="n">
        <v>690</v>
      </c>
      <c r="E5" s="2" t="n">
        <v>1160</v>
      </c>
      <c r="F5" s="2" t="n">
        <v>200</v>
      </c>
      <c r="G5" s="2" t="inlineStr">
        <is>
          <t>Tested, Table 3</t>
        </is>
      </c>
      <c r="H5" s="2" t="n">
        <v>6</v>
      </c>
      <c r="I5" s="2" t="inlineStr">
        <is>
          <t>https://doi.org/10.1016/j.engstruct.2025.121810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26" customWidth="1" min="3" max="3"/>
    <col width="13" customWidth="1" min="4" max="4"/>
  </cols>
  <sheetData>
    <row r="1" ht="38" customHeight="1">
      <c r="A1" s="1" t="inlineStr">
        <is>
          <t>L mm</t>
        </is>
      </c>
      <c r="B1" s="1" t="n">
        <v>5000</v>
      </c>
      <c r="C1" s="1" t="inlineStr">
        <is>
          <t>REPORTED Fig.1</t>
        </is>
      </c>
      <c r="D1" s="1" t="inlineStr">
        <is>
          <t>p5</t>
        </is>
      </c>
    </row>
    <row r="2">
      <c r="A2" s="2" t="inlineStr">
        <is>
          <t>Web width mm</t>
        </is>
      </c>
      <c r="B2" s="2" t="n">
        <v>180</v>
      </c>
      <c r="C2" s="2" t="inlineStr">
        <is>
          <t>REPORTED Fig.1</t>
        </is>
      </c>
      <c r="D2" s="2" t="inlineStr">
        <is>
          <t>p5</t>
        </is>
      </c>
    </row>
    <row r="3">
      <c r="A3" s="2" t="inlineStr">
        <is>
          <t>Overall h mm</t>
        </is>
      </c>
      <c r="B3" s="2" t="n">
        <v>500</v>
      </c>
      <c r="C3" s="2" t="inlineStr">
        <is>
          <t>REPORTED Fig.1</t>
        </is>
      </c>
      <c r="D3" s="2" t="inlineStr">
        <is>
          <t>p5</t>
        </is>
      </c>
    </row>
    <row r="4">
      <c r="A4" s="2" t="inlineStr">
        <is>
          <t>Flange width mm</t>
        </is>
      </c>
      <c r="B4" s="2" t="n">
        <v>400</v>
      </c>
      <c r="C4" s="2" t="inlineStr">
        <is>
          <t>REPORTED Fig.1</t>
        </is>
      </c>
      <c r="D4" s="2" t="inlineStr">
        <is>
          <t>p5</t>
        </is>
      </c>
    </row>
    <row r="5">
      <c r="A5" s="2" t="inlineStr">
        <is>
          <t>Flange thickness mm</t>
        </is>
      </c>
      <c r="B5" s="2" t="n">
        <v>100</v>
      </c>
      <c r="C5" s="2" t="inlineStr">
        <is>
          <t>REPORTED Fig.1</t>
        </is>
      </c>
      <c r="D5" s="2" t="inlineStr">
        <is>
          <t>p5</t>
        </is>
      </c>
    </row>
    <row r="6">
      <c r="A6" s="2" t="inlineStr">
        <is>
          <t>Effective depth d mm</t>
        </is>
      </c>
      <c r="B6" s="2" t="n">
        <v>410</v>
      </c>
      <c r="C6" s="2" t="inlineStr">
        <is>
          <t>REPORTED Table1 Fig1</t>
        </is>
      </c>
      <c r="D6" s="2" t="inlineStr">
        <is>
          <t>p3,p5</t>
        </is>
      </c>
    </row>
    <row r="7">
      <c r="A7" s="2" t="inlineStr">
        <is>
          <t>Top longitudinal bars</t>
        </is>
      </c>
      <c r="B7" s="2" t="inlineStr">
        <is>
          <t>2x M#3 (Ø10) FIGURE; TEXT says M#4</t>
        </is>
      </c>
      <c r="C7" s="2" t="inlineStr">
        <is>
          <t>CONFLICT - MUST RESOLVE</t>
        </is>
      </c>
      <c r="D7" s="2" t="inlineStr">
        <is>
          <t>p3,p5</t>
        </is>
      </c>
    </row>
    <row r="8">
      <c r="A8" s="2" t="inlineStr">
        <is>
          <t>Bottom longitudinal bars</t>
        </is>
      </c>
      <c r="B8" s="2" t="inlineStr">
        <is>
          <t>6x M#10 (Ø32)</t>
        </is>
      </c>
      <c r="C8" s="2" t="inlineStr">
        <is>
          <t>REPORTED Fig.1</t>
        </is>
      </c>
      <c r="D8" s="2" t="inlineStr">
        <is>
          <t>p5</t>
        </is>
      </c>
    </row>
    <row r="9">
      <c r="A9" s="2" t="inlineStr">
        <is>
          <t>Steel fiber length mm</t>
        </is>
      </c>
      <c r="B9" s="2" t="n">
        <v>13</v>
      </c>
      <c r="C9" s="2" t="inlineStr">
        <is>
          <t>REPORTED sec2.2.1</t>
        </is>
      </c>
      <c r="D9" s="2" t="inlineStr">
        <is>
          <t>p3</t>
        </is>
      </c>
    </row>
    <row r="10">
      <c r="A10" s="2" t="inlineStr">
        <is>
          <t>Steel fiber diameter mm</t>
        </is>
      </c>
      <c r="B10" s="2" t="n">
        <v>0.2</v>
      </c>
      <c r="C10" s="2" t="inlineStr">
        <is>
          <t>REPORTED sec2.2.1</t>
        </is>
      </c>
      <c r="D10" s="2" t="inlineStr">
        <is>
          <t>p3</t>
        </is>
      </c>
    </row>
    <row r="11">
      <c r="A11" s="2" t="inlineStr">
        <is>
          <t>Steel fiber min tensile MPa</t>
        </is>
      </c>
      <c r="B11" s="2" t="n">
        <v>2500</v>
      </c>
      <c r="C11" s="2" t="inlineStr">
        <is>
          <t>REPORTED sec2.2.1</t>
        </is>
      </c>
      <c r="D11" s="2" t="inlineStr">
        <is>
          <t>p3</t>
        </is>
      </c>
    </row>
    <row r="12">
      <c r="A12" s="2" t="inlineStr">
        <is>
          <t>Loading</t>
        </is>
      </c>
      <c r="B12" s="2" t="inlineStr">
        <is>
          <t>Three-point eccentric bending, quasi-static</t>
        </is>
      </c>
      <c r="C12" s="3" t="inlineStr">
        <is>
          <t>REPORTED</t>
        </is>
      </c>
      <c r="D12" s="2" t="inlineStr">
        <is>
          <t>p3,p5</t>
        </is>
      </c>
    </row>
    <row r="13">
      <c r="A13" s="2" t="inlineStr">
        <is>
          <t>Loading actuator speed mm/s</t>
        </is>
      </c>
      <c r="B13" s="2" t="n">
        <v>0.1</v>
      </c>
      <c r="C13" s="3" t="inlineStr">
        <is>
          <t>REPORTED</t>
        </is>
      </c>
      <c r="D13" s="2" t="inlineStr">
        <is>
          <t>p3</t>
        </is>
      </c>
    </row>
    <row r="14">
      <c r="A14" s="2" t="inlineStr">
        <is>
          <t>Nominal loading contact length mm</t>
        </is>
      </c>
      <c r="B14" s="2" t="n">
        <v>300</v>
      </c>
      <c r="C14" s="2" t="inlineStr">
        <is>
          <t>REPORTED Fig.1 annotations; contact pad thickness NOT GIVEN</t>
        </is>
      </c>
      <c r="D14" s="2" t="inlineStr">
        <is>
          <t>p5</t>
        </is>
      </c>
    </row>
    <row r="15">
      <c r="A15" s="2" t="inlineStr">
        <is>
          <t>West support x mm - 2p7 default</t>
        </is>
      </c>
      <c r="B15" s="2" t="n">
        <v>300</v>
      </c>
      <c r="C15" s="2" t="inlineStr">
        <is>
          <t>FROM Fig1 dimension</t>
        </is>
      </c>
      <c r="D15" s="2" t="inlineStr">
        <is>
          <t>p5</t>
        </is>
      </c>
    </row>
    <row r="16">
      <c r="A16" s="2" t="inlineStr">
        <is>
          <t>East support x mm - 2p7 default</t>
        </is>
      </c>
      <c r="B16" s="2" t="n">
        <v>4700</v>
      </c>
      <c r="C16" s="2" t="inlineStr">
        <is>
          <t>FROM Fig1 dimension</t>
        </is>
      </c>
      <c r="D16" s="2" t="inlineStr">
        <is>
          <t>p5</t>
        </is>
      </c>
    </row>
    <row r="17">
      <c r="A17" s="2" t="inlineStr">
        <is>
          <t>Loading point x mm - 2p7 default</t>
        </is>
      </c>
      <c r="B17" s="2" t="n">
        <v>1613</v>
      </c>
      <c r="C17" s="2" t="inlineStr">
        <is>
          <t>FROM Fig1 dimension</t>
        </is>
      </c>
      <c r="D17" s="2" t="inlineStr">
        <is>
          <t>p5</t>
        </is>
      </c>
    </row>
    <row r="18">
      <c r="A18" s="2" t="inlineStr">
        <is>
          <t>West support x mm - 1p7 default</t>
        </is>
      </c>
      <c r="B18" s="2" t="n">
        <v>1613</v>
      </c>
      <c r="C18" s="2" t="inlineStr">
        <is>
          <t>FROM Fig1 dimension</t>
        </is>
      </c>
      <c r="D18" s="2" t="inlineStr">
        <is>
          <t>p5</t>
        </is>
      </c>
    </row>
    <row r="19">
      <c r="A19" s="2" t="inlineStr">
        <is>
          <t>East support x mm - 1p7 default</t>
        </is>
      </c>
      <c r="B19" s="2" t="n">
        <v>4700</v>
      </c>
      <c r="C19" s="2" t="inlineStr">
        <is>
          <t>FROM Fig1 dimension</t>
        </is>
      </c>
      <c r="D19" s="2" t="inlineStr">
        <is>
          <t>p5</t>
        </is>
      </c>
    </row>
    <row r="20">
      <c r="A20" s="2" t="inlineStr">
        <is>
          <t>Loading point x mm - 1p7 default</t>
        </is>
      </c>
      <c r="B20" s="2" t="n">
        <v>3797</v>
      </c>
      <c r="C20" s="2" t="inlineStr">
        <is>
          <t>FROM Fig1 dimension</t>
        </is>
      </c>
      <c r="D20" s="2" t="inlineStr">
        <is>
          <t>p5</t>
        </is>
      </c>
    </row>
    <row r="21">
      <c r="A21" s="2" t="inlineStr">
        <is>
          <t>West support x mm - 0p4 H special</t>
        </is>
      </c>
      <c r="B21" s="2" t="n">
        <v>1613</v>
      </c>
      <c r="C21" s="2" t="inlineStr">
        <is>
          <t>FROM Fig1(c) dimension</t>
        </is>
      </c>
      <c r="D21" s="2" t="inlineStr">
        <is>
          <t>p5</t>
        </is>
      </c>
    </row>
    <row r="22">
      <c r="A22" s="2" t="inlineStr">
        <is>
          <t>East support x mm - 0p4 H special</t>
        </is>
      </c>
      <c r="B22" s="2" t="n">
        <v>4700</v>
      </c>
      <c r="C22" s="2" t="inlineStr">
        <is>
          <t>FROM Fig1(c) dimension</t>
        </is>
      </c>
      <c r="D22" s="2" t="inlineStr">
        <is>
          <t>p5</t>
        </is>
      </c>
    </row>
    <row r="23">
      <c r="A23" s="2" t="inlineStr">
        <is>
          <t>Loading point x mm - 0p4 H special</t>
        </is>
      </c>
      <c r="B23" s="2" t="n">
        <v>3387</v>
      </c>
      <c r="C23" s="2" t="inlineStr">
        <is>
          <t>FROM Fig1(c) dimension</t>
        </is>
      </c>
      <c r="D23" s="2" t="inlineStr">
        <is>
          <t>p5</t>
        </is>
      </c>
    </row>
    <row r="24">
      <c r="A24" s="2" t="inlineStr">
        <is>
          <t>Supports/contact details</t>
        </is>
      </c>
      <c r="B24" s="2" t="n"/>
      <c r="C24" s="2" t="inlineStr">
        <is>
          <t>MISSING bearing pad 3D shape, friction, rotation restraints</t>
        </is>
      </c>
      <c r="D24" s="2" t="inlineStr">
        <is>
          <t>p5</t>
        </is>
      </c>
    </row>
    <row r="25">
      <c r="A25" s="2" t="inlineStr">
        <is>
          <t>Fiber orientation field</t>
        </is>
      </c>
      <c r="B25" s="2" t="n"/>
      <c r="C25" s="2" t="inlineStr">
        <is>
          <t>MISSING; assumed homogeneous distribution needs sensitivity</t>
        </is>
      </c>
      <c r="D25" s="2" t="inlineStr">
        <is>
          <t>p3</t>
        </is>
      </c>
    </row>
    <row r="26">
      <c r="A26" s="2" t="inlineStr">
        <is>
          <t>Crushing full curve</t>
        </is>
      </c>
      <c r="B26" s="2" t="n"/>
      <c r="C26" s="2" t="inlineStr">
        <is>
          <t>MISSING; only E, fc, epsilon_peak</t>
        </is>
      </c>
      <c r="D26" s="2" t="inlineStr">
        <is>
          <t>p4</t>
        </is>
      </c>
    </row>
    <row r="27">
      <c r="A27" s="2" t="inlineStr">
        <is>
          <t>Fiber bridging sigma-w / GF</t>
        </is>
      </c>
      <c r="B27" s="2" t="n"/>
      <c r="C27" s="2" t="inlineStr">
        <is>
          <t>MISSING; Fig2b uses strain, no w</t>
        </is>
      </c>
      <c r="D27" s="2" t="inlineStr">
        <is>
          <t>p6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0" customWidth="1" min="17" max="17"/>
    <col width="49" customWidth="1" min="18" max="18"/>
  </cols>
  <sheetData>
    <row r="1" ht="38" customHeight="1">
      <c r="A1" s="1" t="inlineStr">
        <is>
          <t>Specimen ID</t>
        </is>
      </c>
      <c r="B1" s="1" t="inlineStr">
        <is>
          <t>Vf %</t>
        </is>
      </c>
      <c r="C1" s="1" t="inlineStr">
        <is>
          <t>rho_sv %</t>
        </is>
      </c>
      <c r="D1" s="1" t="inlineStr">
        <is>
          <t>Stirrup grade</t>
        </is>
      </c>
      <c r="E1" s="1" t="inlineStr">
        <is>
          <t>a/d</t>
        </is>
      </c>
      <c r="F1" s="1" t="inlineStr">
        <is>
          <t>Batch</t>
        </is>
      </c>
      <c r="G1" s="1" t="inlineStr">
        <is>
          <t>Stirrup spacing mm</t>
        </is>
      </c>
      <c r="H1" s="1" t="inlineStr">
        <is>
          <t>Stirrup bar</t>
        </is>
      </c>
      <c r="I1" s="1" t="inlineStr">
        <is>
          <t>Special supports</t>
        </is>
      </c>
      <c r="J1" s="1" t="inlineStr">
        <is>
          <t>V_ult kN</t>
        </is>
      </c>
      <c r="K1" s="1" t="inlineStr">
        <is>
          <t>delta_ult mm</t>
        </is>
      </c>
      <c r="L1" s="1" t="inlineStr">
        <is>
          <t>CSC angle deg</t>
        </is>
      </c>
      <c r="M1" s="1" t="inlineStr">
        <is>
          <t>Failure mode</t>
        </is>
      </c>
      <c r="N1" s="1" t="inlineStr">
        <is>
          <t>epsilon_c,ult microstrain</t>
        </is>
      </c>
      <c r="O1" s="1" t="inlineStr">
        <is>
          <t>Table 1/4 page</t>
        </is>
      </c>
      <c r="P1" s="1" t="inlineStr">
        <is>
          <t>Evidence</t>
        </is>
      </c>
      <c r="Q1" s="1" t="inlineStr">
        <is>
          <t>P estimate (kN), geometrically derived</t>
        </is>
      </c>
      <c r="R1" s="1" t="inlineStr">
        <is>
          <t>NOT REPORTED machine load; do not confuse</t>
        </is>
      </c>
    </row>
    <row r="2">
      <c r="A2" s="2" t="inlineStr">
        <is>
          <t>Vf1-r0-1p7</t>
        </is>
      </c>
      <c r="B2" s="2" t="n">
        <v>1</v>
      </c>
      <c r="C2" s="2" t="n">
        <v>0</v>
      </c>
      <c r="D2" s="2" t="inlineStr">
        <is>
          <t>-</t>
        </is>
      </c>
      <c r="E2" s="2" t="n">
        <v>1.7</v>
      </c>
      <c r="F2" s="2" t="n">
        <v>3</v>
      </c>
      <c r="G2" s="2" t="n"/>
      <c r="H2" s="2" t="n"/>
      <c r="I2" s="2" t="b">
        <v>0</v>
      </c>
      <c r="J2" s="2" t="n">
        <v>884</v>
      </c>
      <c r="K2" s="2" t="n">
        <v>7.9</v>
      </c>
      <c r="L2" s="2" t="n">
        <v>38</v>
      </c>
      <c r="M2" s="2" t="inlineStr">
        <is>
          <t>DC+SC</t>
        </is>
      </c>
      <c r="N2" s="2" t="n">
        <v>-902</v>
      </c>
      <c r="O2" s="2" t="inlineStr">
        <is>
          <t>3,10</t>
        </is>
      </c>
      <c r="P2" s="3" t="inlineStr">
        <is>
          <t>REPORTED</t>
        </is>
      </c>
      <c r="Q2" s="5">
        <f>J2/0.7074829932</f>
        <v/>
      </c>
      <c r="R2" s="2" t="inlineStr">
        <is>
          <t>support reaction geometric inference; not author P</t>
        </is>
      </c>
    </row>
    <row r="3">
      <c r="A3" s="2" t="inlineStr">
        <is>
          <t>Vf1-r0-2p7</t>
        </is>
      </c>
      <c r="B3" s="2" t="n">
        <v>1</v>
      </c>
      <c r="C3" s="2" t="n">
        <v>0</v>
      </c>
      <c r="D3" s="2" t="inlineStr">
        <is>
          <t>-</t>
        </is>
      </c>
      <c r="E3" s="2" t="n">
        <v>2.7</v>
      </c>
      <c r="F3" s="2" t="n">
        <v>3</v>
      </c>
      <c r="G3" s="2" t="n"/>
      <c r="H3" s="2" t="n"/>
      <c r="I3" s="2" t="b">
        <v>0</v>
      </c>
      <c r="J3" s="2" t="n">
        <v>478</v>
      </c>
      <c r="K3" s="2" t="n">
        <v>12.7</v>
      </c>
      <c r="L3" s="2" t="n">
        <v>29</v>
      </c>
      <c r="M3" s="2" t="inlineStr">
        <is>
          <t>DT</t>
        </is>
      </c>
      <c r="N3" s="2" t="n">
        <v>-1091</v>
      </c>
      <c r="O3" s="2" t="inlineStr">
        <is>
          <t>3,10</t>
        </is>
      </c>
      <c r="P3" s="3" t="inlineStr">
        <is>
          <t>REPORTED</t>
        </is>
      </c>
      <c r="Q3" s="5">
        <f>J3/0.7015909091</f>
        <v/>
      </c>
      <c r="R3" s="2" t="inlineStr">
        <is>
          <t>support reaction geometric inference; not author P</t>
        </is>
      </c>
    </row>
    <row r="4">
      <c r="A4" s="2" t="inlineStr">
        <is>
          <t>Vf2-r0-1p7</t>
        </is>
      </c>
      <c r="B4" s="2" t="n">
        <v>2</v>
      </c>
      <c r="C4" s="2" t="n">
        <v>0</v>
      </c>
      <c r="D4" s="2" t="inlineStr">
        <is>
          <t>-</t>
        </is>
      </c>
      <c r="E4" s="2" t="n">
        <v>1.7</v>
      </c>
      <c r="F4" s="2" t="n">
        <v>2</v>
      </c>
      <c r="G4" s="2" t="n"/>
      <c r="H4" s="2" t="n"/>
      <c r="I4" s="2" t="b">
        <v>0</v>
      </c>
      <c r="J4" s="2" t="n">
        <v>1241</v>
      </c>
      <c r="K4" s="2" t="n">
        <v>14.6</v>
      </c>
      <c r="L4" s="2" t="n">
        <v>44</v>
      </c>
      <c r="M4" s="2" t="inlineStr">
        <is>
          <t>DC+SC</t>
        </is>
      </c>
      <c r="N4" s="2" t="n">
        <v>-1023</v>
      </c>
      <c r="O4" s="2" t="inlineStr">
        <is>
          <t>3,10</t>
        </is>
      </c>
      <c r="P4" s="3" t="inlineStr">
        <is>
          <t>REPORTED</t>
        </is>
      </c>
      <c r="Q4" s="5">
        <f>J4/0.7074829932</f>
        <v/>
      </c>
      <c r="R4" s="2" t="inlineStr">
        <is>
          <t>support reaction geometric inference; not author P</t>
        </is>
      </c>
    </row>
    <row r="5">
      <c r="A5" s="2" t="inlineStr">
        <is>
          <t>Vf2-r0-2p7</t>
        </is>
      </c>
      <c r="B5" s="2" t="n">
        <v>2</v>
      </c>
      <c r="C5" s="2" t="n">
        <v>0</v>
      </c>
      <c r="D5" s="2" t="inlineStr">
        <is>
          <t>-</t>
        </is>
      </c>
      <c r="E5" s="2" t="n">
        <v>2.7</v>
      </c>
      <c r="F5" s="2" t="n">
        <v>2</v>
      </c>
      <c r="G5" s="2" t="n"/>
      <c r="H5" s="2" t="n"/>
      <c r="I5" s="2" t="b">
        <v>0</v>
      </c>
      <c r="J5" s="2" t="n">
        <v>862</v>
      </c>
      <c r="K5" s="2" t="n">
        <v>29.6</v>
      </c>
      <c r="L5" s="2" t="n">
        <v>30</v>
      </c>
      <c r="M5" s="2" t="inlineStr">
        <is>
          <t>DT+DC+SC</t>
        </is>
      </c>
      <c r="N5" s="2" t="n">
        <v>-1551</v>
      </c>
      <c r="O5" s="2" t="inlineStr">
        <is>
          <t>3,10</t>
        </is>
      </c>
      <c r="P5" s="3" t="inlineStr">
        <is>
          <t>REPORTED</t>
        </is>
      </c>
      <c r="Q5" s="5">
        <f>J5/0.7015909091</f>
        <v/>
      </c>
      <c r="R5" s="2" t="inlineStr">
        <is>
          <t>support reaction geometric inference; not author P</t>
        </is>
      </c>
    </row>
    <row r="6">
      <c r="A6" s="2" t="inlineStr">
        <is>
          <t>Vf1-r06N-1p7</t>
        </is>
      </c>
      <c r="B6" s="2" t="n">
        <v>1</v>
      </c>
      <c r="C6" s="2" t="n">
        <v>0.6</v>
      </c>
      <c r="D6" s="2" t="inlineStr">
        <is>
          <t>NSS</t>
        </is>
      </c>
      <c r="E6" s="2" t="n">
        <v>1.7</v>
      </c>
      <c r="F6" s="2" t="n">
        <v>3</v>
      </c>
      <c r="G6" s="2" t="n">
        <v>200</v>
      </c>
      <c r="H6" s="2" t="inlineStr">
        <is>
          <t>10M</t>
        </is>
      </c>
      <c r="I6" s="2" t="b">
        <v>0</v>
      </c>
      <c r="J6" s="2" t="n">
        <v>1358</v>
      </c>
      <c r="K6" s="2" t="n">
        <v>14.1</v>
      </c>
      <c r="L6" s="2" t="n">
        <v>34</v>
      </c>
      <c r="M6" s="2" t="inlineStr">
        <is>
          <t>DC+SC</t>
        </is>
      </c>
      <c r="N6" s="2" t="n">
        <v>-2082</v>
      </c>
      <c r="O6" s="2" t="inlineStr">
        <is>
          <t>3,10</t>
        </is>
      </c>
      <c r="P6" s="3" t="inlineStr">
        <is>
          <t>REPORTED</t>
        </is>
      </c>
      <c r="Q6" s="5">
        <f>J6/0.7074829932</f>
        <v/>
      </c>
      <c r="R6" s="2" t="inlineStr">
        <is>
          <t>support reaction geometric inference; not author P</t>
        </is>
      </c>
    </row>
    <row r="7">
      <c r="A7" s="2" t="inlineStr">
        <is>
          <t>Vf1-r06N-2p7</t>
        </is>
      </c>
      <c r="B7" s="2" t="n">
        <v>1</v>
      </c>
      <c r="C7" s="2" t="n">
        <v>0.6</v>
      </c>
      <c r="D7" s="2" t="inlineStr">
        <is>
          <t>NSS</t>
        </is>
      </c>
      <c r="E7" s="2" t="n">
        <v>2.7</v>
      </c>
      <c r="F7" s="2" t="n">
        <v>3</v>
      </c>
      <c r="G7" s="2" t="n">
        <v>200</v>
      </c>
      <c r="H7" s="2" t="inlineStr">
        <is>
          <t>10M</t>
        </is>
      </c>
      <c r="I7" s="2" t="b">
        <v>0</v>
      </c>
      <c r="J7" s="2" t="n">
        <v>888</v>
      </c>
      <c r="K7" s="2" t="n">
        <v>30</v>
      </c>
      <c r="L7" s="2" t="n">
        <v>28</v>
      </c>
      <c r="M7" s="2" t="inlineStr">
        <is>
          <t>DT+DC+SC</t>
        </is>
      </c>
      <c r="N7" s="2" t="n">
        <v>-2491</v>
      </c>
      <c r="O7" s="2" t="inlineStr">
        <is>
          <t>3,10</t>
        </is>
      </c>
      <c r="P7" s="3" t="inlineStr">
        <is>
          <t>REPORTED</t>
        </is>
      </c>
      <c r="Q7" s="5">
        <f>J7/0.7015909091</f>
        <v/>
      </c>
      <c r="R7" s="2" t="inlineStr">
        <is>
          <t>support reaction geometric inference; not author P</t>
        </is>
      </c>
    </row>
    <row r="8">
      <c r="A8" s="2" t="inlineStr">
        <is>
          <t>Vf2-r06N-1p7</t>
        </is>
      </c>
      <c r="B8" s="2" t="n">
        <v>2</v>
      </c>
      <c r="C8" s="2" t="n">
        <v>0.6</v>
      </c>
      <c r="D8" s="2" t="inlineStr">
        <is>
          <t>NSS</t>
        </is>
      </c>
      <c r="E8" s="2" t="n">
        <v>1.7</v>
      </c>
      <c r="F8" s="2" t="n">
        <v>1</v>
      </c>
      <c r="G8" s="2" t="n">
        <v>200</v>
      </c>
      <c r="H8" s="2" t="inlineStr">
        <is>
          <t>10M</t>
        </is>
      </c>
      <c r="I8" s="2" t="b">
        <v>0</v>
      </c>
      <c r="J8" s="2" t="n">
        <v>1534</v>
      </c>
      <c r="K8" s="2" t="n">
        <v>18.9</v>
      </c>
      <c r="L8" s="2" t="n">
        <v>37</v>
      </c>
      <c r="M8" s="2" t="inlineStr">
        <is>
          <t>DC+SC</t>
        </is>
      </c>
      <c r="N8" s="2" t="n">
        <v>-2140</v>
      </c>
      <c r="O8" s="2" t="inlineStr">
        <is>
          <t>3,10</t>
        </is>
      </c>
      <c r="P8" s="3" t="inlineStr">
        <is>
          <t>REPORTED</t>
        </is>
      </c>
      <c r="Q8" s="5">
        <f>J8/0.7074829932</f>
        <v/>
      </c>
      <c r="R8" s="2" t="inlineStr">
        <is>
          <t>support reaction geometric inference; not author P</t>
        </is>
      </c>
    </row>
    <row r="9">
      <c r="A9" s="2" t="inlineStr">
        <is>
          <t>Vf2-r06N-2p7</t>
        </is>
      </c>
      <c r="B9" s="2" t="n">
        <v>2</v>
      </c>
      <c r="C9" s="2" t="n">
        <v>0.6</v>
      </c>
      <c r="D9" s="2" t="inlineStr">
        <is>
          <t>NSS</t>
        </is>
      </c>
      <c r="E9" s="2" t="n">
        <v>2.7</v>
      </c>
      <c r="F9" s="2" t="n">
        <v>1</v>
      </c>
      <c r="G9" s="2" t="n">
        <v>200</v>
      </c>
      <c r="H9" s="2" t="inlineStr">
        <is>
          <t>10M</t>
        </is>
      </c>
      <c r="I9" s="2" t="b">
        <v>0</v>
      </c>
      <c r="J9" s="2" t="n">
        <v>1092</v>
      </c>
      <c r="K9" s="2" t="n">
        <v>38.9</v>
      </c>
      <c r="L9" s="2" t="n">
        <v>29</v>
      </c>
      <c r="M9" s="2" t="inlineStr">
        <is>
          <t>DT+DC+SC</t>
        </is>
      </c>
      <c r="N9" s="2" t="n">
        <v>-4203</v>
      </c>
      <c r="O9" s="2" t="inlineStr">
        <is>
          <t>3,10</t>
        </is>
      </c>
      <c r="P9" s="3" t="inlineStr">
        <is>
          <t>REPORTED</t>
        </is>
      </c>
      <c r="Q9" s="5">
        <f>J9/0.7015909091</f>
        <v/>
      </c>
      <c r="R9" s="2" t="inlineStr">
        <is>
          <t>support reaction geometric inference; not author P</t>
        </is>
      </c>
    </row>
    <row r="10">
      <c r="A10" s="2" t="inlineStr">
        <is>
          <t>Vf1-r07H-1p7</t>
        </is>
      </c>
      <c r="B10" s="2" t="n">
        <v>1</v>
      </c>
      <c r="C10" s="2" t="n">
        <v>0.7</v>
      </c>
      <c r="D10" s="2" t="inlineStr">
        <is>
          <t>HSS</t>
        </is>
      </c>
      <c r="E10" s="2" t="n">
        <v>1.7</v>
      </c>
      <c r="F10" s="2" t="n">
        <v>3</v>
      </c>
      <c r="G10" s="2" t="n">
        <v>200</v>
      </c>
      <c r="H10" s="2" t="inlineStr">
        <is>
          <t>M#4</t>
        </is>
      </c>
      <c r="I10" s="2" t="b">
        <v>0</v>
      </c>
      <c r="J10" s="2" t="n">
        <v>1600</v>
      </c>
      <c r="K10" s="2" t="n">
        <v>15.8</v>
      </c>
      <c r="L10" s="2" t="n">
        <v>44</v>
      </c>
      <c r="M10" s="2" t="inlineStr">
        <is>
          <t>DC+SC</t>
        </is>
      </c>
      <c r="N10" s="2" t="n">
        <v>-3595</v>
      </c>
      <c r="O10" s="2" t="inlineStr">
        <is>
          <t>3,10</t>
        </is>
      </c>
      <c r="P10" s="3" t="inlineStr">
        <is>
          <t>REPORTED</t>
        </is>
      </c>
      <c r="Q10" s="5">
        <f>J10/0.7074829932</f>
        <v/>
      </c>
      <c r="R10" s="2" t="inlineStr">
        <is>
          <t>support reaction geometric inference; not author P</t>
        </is>
      </c>
    </row>
    <row r="11">
      <c r="A11" s="2" t="inlineStr">
        <is>
          <t>Vf1-r07H-2p7</t>
        </is>
      </c>
      <c r="B11" s="2" t="n">
        <v>1</v>
      </c>
      <c r="C11" s="2" t="n">
        <v>0.7</v>
      </c>
      <c r="D11" s="2" t="inlineStr">
        <is>
          <t>HSS</t>
        </is>
      </c>
      <c r="E11" s="2" t="n">
        <v>2.7</v>
      </c>
      <c r="F11" s="2" t="n">
        <v>3</v>
      </c>
      <c r="G11" s="2" t="n">
        <v>200</v>
      </c>
      <c r="H11" s="2" t="inlineStr">
        <is>
          <t>M#4</t>
        </is>
      </c>
      <c r="I11" s="2" t="b">
        <v>0</v>
      </c>
      <c r="J11" s="2" t="n">
        <v>1156</v>
      </c>
      <c r="K11" s="2" t="n">
        <v>35.9</v>
      </c>
      <c r="L11" s="2" t="n">
        <v>45</v>
      </c>
      <c r="M11" s="2" t="inlineStr">
        <is>
          <t>DC+FL</t>
        </is>
      </c>
      <c r="N11" s="2" t="n">
        <v>-4348</v>
      </c>
      <c r="O11" s="2" t="inlineStr">
        <is>
          <t>3,10</t>
        </is>
      </c>
      <c r="P11" s="3" t="inlineStr">
        <is>
          <t>REPORTED</t>
        </is>
      </c>
      <c r="Q11" s="5">
        <f>J11/0.7015909091</f>
        <v/>
      </c>
      <c r="R11" s="2" t="inlineStr">
        <is>
          <t>support reaction geometric inference; not author P</t>
        </is>
      </c>
    </row>
    <row r="12">
      <c r="A12" s="2" t="inlineStr">
        <is>
          <t>Vf1-r04H-2p7</t>
        </is>
      </c>
      <c r="B12" s="2" t="n">
        <v>1</v>
      </c>
      <c r="C12" s="2" t="n">
        <v>0.4</v>
      </c>
      <c r="D12" s="2" t="inlineStr">
        <is>
          <t>HSS</t>
        </is>
      </c>
      <c r="E12" s="2" t="n">
        <v>2.7</v>
      </c>
      <c r="F12" s="2" t="n">
        <v>3</v>
      </c>
      <c r="G12" s="2" t="n">
        <v>200</v>
      </c>
      <c r="H12" s="2" t="inlineStr">
        <is>
          <t>M#3</t>
        </is>
      </c>
      <c r="I12" s="2" t="b">
        <v>1</v>
      </c>
      <c r="J12" s="2" t="n">
        <v>1125</v>
      </c>
      <c r="K12" s="2" t="n">
        <v>23.1</v>
      </c>
      <c r="L12" s="2" t="n">
        <v>30</v>
      </c>
      <c r="M12" s="2" t="inlineStr">
        <is>
          <t>DC+FL</t>
        </is>
      </c>
      <c r="N12" s="2" t="n">
        <v>-3149</v>
      </c>
      <c r="O12" s="2" t="inlineStr">
        <is>
          <t>3,10</t>
        </is>
      </c>
      <c r="P12" s="3" t="inlineStr">
        <is>
          <t>REPORTED</t>
        </is>
      </c>
      <c r="Q12" s="5">
        <f>J12/0.5746679624</f>
        <v/>
      </c>
      <c r="R12" s="2" t="inlineStr">
        <is>
          <t>support reaction geometric inference; not author P</t>
        </is>
      </c>
    </row>
    <row r="13">
      <c r="A13" s="2" t="inlineStr">
        <is>
          <t>Vf1-r05H-2p7</t>
        </is>
      </c>
      <c r="B13" s="2" t="n">
        <v>1</v>
      </c>
      <c r="C13" s="2" t="n">
        <v>0.5</v>
      </c>
      <c r="D13" s="2" t="inlineStr">
        <is>
          <t>HSS</t>
        </is>
      </c>
      <c r="E13" s="2" t="n">
        <v>2.7</v>
      </c>
      <c r="F13" s="2" t="n">
        <v>3</v>
      </c>
      <c r="G13" s="2" t="n">
        <v>150</v>
      </c>
      <c r="H13" s="2" t="inlineStr">
        <is>
          <t>M#3</t>
        </is>
      </c>
      <c r="I13" s="2" t="b">
        <v>0</v>
      </c>
      <c r="J13" s="2" t="n">
        <v>1134</v>
      </c>
      <c r="K13" s="2" t="n">
        <v>38.3</v>
      </c>
      <c r="L13" s="2" t="n">
        <v>37</v>
      </c>
      <c r="M13" s="2" t="inlineStr">
        <is>
          <t>DC+FL</t>
        </is>
      </c>
      <c r="N13" s="2" t="n">
        <v>-3445</v>
      </c>
      <c r="O13" s="2" t="inlineStr">
        <is>
          <t>3,10</t>
        </is>
      </c>
      <c r="P13" s="3" t="inlineStr">
        <is>
          <t>REPORTED</t>
        </is>
      </c>
      <c r="Q13" s="5">
        <f>J13/0.7015909091</f>
        <v/>
      </c>
      <c r="R13" s="2" t="inlineStr">
        <is>
          <t>support reaction geometric inference; not author P</t>
        </is>
      </c>
    </row>
  </sheetData>
  <autoFilter ref="A1:R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0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6" customWidth="1" min="7" max="7"/>
    <col width="13" customWidth="1" min="8" max="8"/>
    <col width="49" customWidth="1" min="9" max="9"/>
  </cols>
  <sheetData>
    <row r="1" ht="38" customHeight="1">
      <c r="A1" s="1" t="inlineStr">
        <is>
          <t>curve_id</t>
        </is>
      </c>
      <c r="B1" s="1" t="inlineStr">
        <is>
          <t>Vf %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x units</t>
        </is>
      </c>
      <c r="F1" s="1" t="inlineStr">
        <is>
          <t>y units</t>
        </is>
      </c>
      <c r="G1" s="1" t="inlineStr">
        <is>
          <t>Evidence</t>
        </is>
      </c>
      <c r="H1" s="1" t="inlineStr">
        <is>
          <t>Source/Figure</t>
        </is>
      </c>
      <c r="I1" s="1" t="inlineStr">
        <is>
          <t>NOTE</t>
        </is>
      </c>
    </row>
    <row r="2">
      <c r="A2" s="2" t="inlineStr">
        <is>
          <t>fig2a_bending_vf1</t>
        </is>
      </c>
      <c r="B2" s="2" t="n">
        <v>1</v>
      </c>
      <c r="C2" s="2" t="n">
        <v>0</v>
      </c>
      <c r="D2" s="2" t="n">
        <v>0</v>
      </c>
      <c r="E2" s="2" t="inlineStr">
        <is>
          <t>mm</t>
        </is>
      </c>
      <c r="F2" s="2" t="inlineStr">
        <is>
          <t>kN</t>
        </is>
      </c>
      <c r="G2" s="2" t="inlineStr">
        <is>
          <t>FIGURE_DIGITIZED_APPROX</t>
        </is>
      </c>
      <c r="H2" s="2" t="inlineStr">
        <is>
          <t>Figure2 p6</t>
        </is>
      </c>
      <c r="I2" s="2" t="inlineStr">
        <is>
          <t>No batch assignment for 2%; no local fracture conversion</t>
        </is>
      </c>
    </row>
    <row r="3">
      <c r="A3" s="2" t="inlineStr">
        <is>
          <t>fig2a_bending_vf1</t>
        </is>
      </c>
      <c r="B3" s="2" t="n">
        <v>1</v>
      </c>
      <c r="C3" s="2" t="n">
        <v>0.0389613</v>
      </c>
      <c r="D3" s="2" t="n">
        <v>22.76249</v>
      </c>
      <c r="E3" s="2" t="inlineStr">
        <is>
          <t>mm</t>
        </is>
      </c>
      <c r="F3" s="2" t="inlineStr">
        <is>
          <t>kN</t>
        </is>
      </c>
      <c r="G3" s="2" t="inlineStr">
        <is>
          <t>FIGURE_DIGITIZED_APPROX</t>
        </is>
      </c>
      <c r="H3" s="2" t="inlineStr">
        <is>
          <t>Figure2 p6</t>
        </is>
      </c>
      <c r="I3" s="2" t="inlineStr">
        <is>
          <t>No batch assignment for 2%; no local fracture conversion</t>
        </is>
      </c>
    </row>
    <row r="4">
      <c r="A4" s="2" t="inlineStr">
        <is>
          <t>fig2a_bending_vf1</t>
        </is>
      </c>
      <c r="B4" s="2" t="n">
        <v>1</v>
      </c>
      <c r="C4" s="2" t="n">
        <v>0.07792259999999999</v>
      </c>
      <c r="D4" s="2" t="n">
        <v>39.48821</v>
      </c>
      <c r="E4" s="2" t="inlineStr">
        <is>
          <t>mm</t>
        </is>
      </c>
      <c r="F4" s="2" t="inlineStr">
        <is>
          <t>kN</t>
        </is>
      </c>
      <c r="G4" s="2" t="inlineStr">
        <is>
          <t>FIGURE_DIGITIZED_APPROX</t>
        </is>
      </c>
      <c r="H4" s="2" t="inlineStr">
        <is>
          <t>Figure2 p6</t>
        </is>
      </c>
      <c r="I4" s="2" t="inlineStr">
        <is>
          <t>No batch assignment for 2%; no local fracture conversion</t>
        </is>
      </c>
    </row>
    <row r="5">
      <c r="A5" s="2" t="inlineStr">
        <is>
          <t>fig2a_bending_vf1</t>
        </is>
      </c>
      <c r="B5" s="2" t="n">
        <v>1</v>
      </c>
      <c r="C5" s="2" t="n">
        <v>0.1168839</v>
      </c>
      <c r="D5" s="2" t="n">
        <v>49.17756</v>
      </c>
      <c r="E5" s="2" t="inlineStr">
        <is>
          <t>mm</t>
        </is>
      </c>
      <c r="F5" s="2" t="inlineStr">
        <is>
          <t>kN</t>
        </is>
      </c>
      <c r="G5" s="2" t="inlineStr">
        <is>
          <t>FIGURE_DIGITIZED_APPROX</t>
        </is>
      </c>
      <c r="H5" s="2" t="inlineStr">
        <is>
          <t>Figure2 p6</t>
        </is>
      </c>
      <c r="I5" s="2" t="inlineStr">
        <is>
          <t>No batch assignment for 2%; no local fracture conversion</t>
        </is>
      </c>
    </row>
    <row r="6">
      <c r="A6" s="2" t="inlineStr">
        <is>
          <t>fig2a_bending_vf1</t>
        </is>
      </c>
      <c r="B6" s="2" t="n">
        <v>1</v>
      </c>
      <c r="C6" s="2" t="n">
        <v>0.1558452</v>
      </c>
      <c r="D6" s="2" t="n">
        <v>53.28906</v>
      </c>
      <c r="E6" s="2" t="inlineStr">
        <is>
          <t>mm</t>
        </is>
      </c>
      <c r="F6" s="2" t="inlineStr">
        <is>
          <t>kN</t>
        </is>
      </c>
      <c r="G6" s="2" t="inlineStr">
        <is>
          <t>FIGURE_DIGITIZED_APPROX</t>
        </is>
      </c>
      <c r="H6" s="2" t="inlineStr">
        <is>
          <t>Figure2 p6</t>
        </is>
      </c>
      <c r="I6" s="2" t="inlineStr">
        <is>
          <t>No batch assignment for 2%; no local fracture conversion</t>
        </is>
      </c>
    </row>
    <row r="7">
      <c r="A7" s="2" t="inlineStr">
        <is>
          <t>fig2a_bending_vf1</t>
        </is>
      </c>
      <c r="B7" s="2" t="n">
        <v>1</v>
      </c>
      <c r="C7" s="2" t="n">
        <v>0.1948065</v>
      </c>
      <c r="D7" s="2" t="n">
        <v>56.80846</v>
      </c>
      <c r="E7" s="2" t="inlineStr">
        <is>
          <t>mm</t>
        </is>
      </c>
      <c r="F7" s="2" t="inlineStr">
        <is>
          <t>kN</t>
        </is>
      </c>
      <c r="G7" s="2" t="inlineStr">
        <is>
          <t>FIGURE_DIGITIZED_APPROX</t>
        </is>
      </c>
      <c r="H7" s="2" t="inlineStr">
        <is>
          <t>Figure2 p6</t>
        </is>
      </c>
      <c r="I7" s="2" t="inlineStr">
        <is>
          <t>No batch assignment for 2%; no local fracture conversion</t>
        </is>
      </c>
    </row>
    <row r="8">
      <c r="A8" s="2" t="inlineStr">
        <is>
          <t>fig2a_bending_vf1</t>
        </is>
      </c>
      <c r="B8" s="2" t="n">
        <v>1</v>
      </c>
      <c r="C8" s="2" t="n">
        <v>0.2337678</v>
      </c>
      <c r="D8" s="2" t="n">
        <v>59.82621</v>
      </c>
      <c r="E8" s="2" t="inlineStr">
        <is>
          <t>mm</t>
        </is>
      </c>
      <c r="F8" s="2" t="inlineStr">
        <is>
          <t>kN</t>
        </is>
      </c>
      <c r="G8" s="2" t="inlineStr">
        <is>
          <t>FIGURE_DIGITIZED_APPROX</t>
        </is>
      </c>
      <c r="H8" s="2" t="inlineStr">
        <is>
          <t>Figure2 p6</t>
        </is>
      </c>
      <c r="I8" s="2" t="inlineStr">
        <is>
          <t>No batch assignment for 2%; no local fracture conversion</t>
        </is>
      </c>
    </row>
    <row r="9">
      <c r="A9" s="2" t="inlineStr">
        <is>
          <t>fig2a_bending_vf1</t>
        </is>
      </c>
      <c r="B9" s="2" t="n">
        <v>1</v>
      </c>
      <c r="C9" s="2" t="n">
        <v>0.2727291</v>
      </c>
      <c r="D9" s="2" t="n">
        <v>62.20687</v>
      </c>
      <c r="E9" s="2" t="inlineStr">
        <is>
          <t>mm</t>
        </is>
      </c>
      <c r="F9" s="2" t="inlineStr">
        <is>
          <t>kN</t>
        </is>
      </c>
      <c r="G9" s="2" t="inlineStr">
        <is>
          <t>FIGURE_DIGITIZED_APPROX</t>
        </is>
      </c>
      <c r="H9" s="2" t="inlineStr">
        <is>
          <t>Figure2 p6</t>
        </is>
      </c>
      <c r="I9" s="2" t="inlineStr">
        <is>
          <t>No batch assignment for 2%; no local fracture conversion</t>
        </is>
      </c>
    </row>
    <row r="10">
      <c r="A10" s="2" t="inlineStr">
        <is>
          <t>fig2a_bending_vf1</t>
        </is>
      </c>
      <c r="B10" s="2" t="n">
        <v>1</v>
      </c>
      <c r="C10" s="2" t="n">
        <v>0.3116904</v>
      </c>
      <c r="D10" s="2" t="n">
        <v>63.58032</v>
      </c>
      <c r="E10" s="2" t="inlineStr">
        <is>
          <t>mm</t>
        </is>
      </c>
      <c r="F10" s="2" t="inlineStr">
        <is>
          <t>kN</t>
        </is>
      </c>
      <c r="G10" s="2" t="inlineStr">
        <is>
          <t>FIGURE_DIGITIZED_APPROX</t>
        </is>
      </c>
      <c r="H10" s="2" t="inlineStr">
        <is>
          <t>Figure2 p6</t>
        </is>
      </c>
      <c r="I10" s="2" t="inlineStr">
        <is>
          <t>No batch assignment for 2%; no local fracture conversion</t>
        </is>
      </c>
    </row>
    <row r="11">
      <c r="A11" s="2" t="inlineStr">
        <is>
          <t>fig2a_bending_vf1</t>
        </is>
      </c>
      <c r="B11" s="2" t="n">
        <v>1</v>
      </c>
      <c r="C11" s="2" t="n">
        <v>0.3506517</v>
      </c>
      <c r="D11" s="2" t="n">
        <v>63.73288</v>
      </c>
      <c r="E11" s="2" t="inlineStr">
        <is>
          <t>mm</t>
        </is>
      </c>
      <c r="F11" s="2" t="inlineStr">
        <is>
          <t>kN</t>
        </is>
      </c>
      <c r="G11" s="2" t="inlineStr">
        <is>
          <t>FIGURE_DIGITIZED_APPROX</t>
        </is>
      </c>
      <c r="H11" s="2" t="inlineStr">
        <is>
          <t>Figure2 p6</t>
        </is>
      </c>
      <c r="I11" s="2" t="inlineStr">
        <is>
          <t>No batch assignment for 2%; no local fracture conversion</t>
        </is>
      </c>
    </row>
    <row r="12">
      <c r="A12" s="2" t="inlineStr">
        <is>
          <t>fig2a_bending_vf1</t>
        </is>
      </c>
      <c r="B12" s="2" t="n">
        <v>1</v>
      </c>
      <c r="C12" s="2" t="n">
        <v>0.389613</v>
      </c>
      <c r="D12" s="2" t="n">
        <v>63.79155</v>
      </c>
      <c r="E12" s="2" t="inlineStr">
        <is>
          <t>mm</t>
        </is>
      </c>
      <c r="F12" s="2" t="inlineStr">
        <is>
          <t>kN</t>
        </is>
      </c>
      <c r="G12" s="2" t="inlineStr">
        <is>
          <t>FIGURE_DIGITIZED_APPROX</t>
        </is>
      </c>
      <c r="H12" s="2" t="inlineStr">
        <is>
          <t>Figure2 p6</t>
        </is>
      </c>
      <c r="I12" s="2" t="inlineStr">
        <is>
          <t>No batch assignment for 2%; no local fracture conversion</t>
        </is>
      </c>
    </row>
    <row r="13">
      <c r="A13" s="2" t="inlineStr">
        <is>
          <t>fig2a_bending_vf1</t>
        </is>
      </c>
      <c r="B13" s="2" t="n">
        <v>1</v>
      </c>
      <c r="C13" s="2" t="n">
        <v>0.4285743</v>
      </c>
      <c r="D13" s="2" t="n">
        <v>64.65694999999999</v>
      </c>
      <c r="E13" s="2" t="inlineStr">
        <is>
          <t>mm</t>
        </is>
      </c>
      <c r="F13" s="2" t="inlineStr">
        <is>
          <t>kN</t>
        </is>
      </c>
      <c r="G13" s="2" t="inlineStr">
        <is>
          <t>FIGURE_DIGITIZED_APPROX</t>
        </is>
      </c>
      <c r="H13" s="2" t="inlineStr">
        <is>
          <t>Figure2 p6</t>
        </is>
      </c>
      <c r="I13" s="2" t="inlineStr">
        <is>
          <t>No batch assignment for 2%; no local fracture conversion</t>
        </is>
      </c>
    </row>
    <row r="14">
      <c r="A14" s="2" t="inlineStr">
        <is>
          <t>fig2a_bending_vf1</t>
        </is>
      </c>
      <c r="B14" s="2" t="n">
        <v>1</v>
      </c>
      <c r="C14" s="2" t="n">
        <v>0.4675356</v>
      </c>
      <c r="D14" s="2" t="n">
        <v>65.82652</v>
      </c>
      <c r="E14" s="2" t="inlineStr">
        <is>
          <t>mm</t>
        </is>
      </c>
      <c r="F14" s="2" t="inlineStr">
        <is>
          <t>kN</t>
        </is>
      </c>
      <c r="G14" s="2" t="inlineStr">
        <is>
          <t>FIGURE_DIGITIZED_APPROX</t>
        </is>
      </c>
      <c r="H14" s="2" t="inlineStr">
        <is>
          <t>Figure2 p6</t>
        </is>
      </c>
      <c r="I14" s="2" t="inlineStr">
        <is>
          <t>No batch assignment for 2%; no local fracture conversion</t>
        </is>
      </c>
    </row>
    <row r="15">
      <c r="A15" s="2" t="inlineStr">
        <is>
          <t>fig2a_bending_vf1</t>
        </is>
      </c>
      <c r="B15" s="2" t="n">
        <v>1</v>
      </c>
      <c r="C15" s="2" t="n">
        <v>0.5064969</v>
      </c>
      <c r="D15" s="2" t="n">
        <v>66.10719</v>
      </c>
      <c r="E15" s="2" t="inlineStr">
        <is>
          <t>mm</t>
        </is>
      </c>
      <c r="F15" s="2" t="inlineStr">
        <is>
          <t>kN</t>
        </is>
      </c>
      <c r="G15" s="2" t="inlineStr">
        <is>
          <t>FIGURE_DIGITIZED_APPROX</t>
        </is>
      </c>
      <c r="H15" s="2" t="inlineStr">
        <is>
          <t>Figure2 p6</t>
        </is>
      </c>
      <c r="I15" s="2" t="inlineStr">
        <is>
          <t>No batch assignment for 2%; no local fracture conversion</t>
        </is>
      </c>
    </row>
    <row r="16">
      <c r="A16" s="2" t="inlineStr">
        <is>
          <t>fig2a_bending_vf1</t>
        </is>
      </c>
      <c r="B16" s="2" t="n">
        <v>1</v>
      </c>
      <c r="C16" s="2" t="n">
        <v>0.5454582</v>
      </c>
      <c r="D16" s="2" t="n">
        <v>64.45844</v>
      </c>
      <c r="E16" s="2" t="inlineStr">
        <is>
          <t>mm</t>
        </is>
      </c>
      <c r="F16" s="2" t="inlineStr">
        <is>
          <t>kN</t>
        </is>
      </c>
      <c r="G16" s="2" t="inlineStr">
        <is>
          <t>FIGURE_DIGITIZED_APPROX</t>
        </is>
      </c>
      <c r="H16" s="2" t="inlineStr">
        <is>
          <t>Figure2 p6</t>
        </is>
      </c>
      <c r="I16" s="2" t="inlineStr">
        <is>
          <t>No batch assignment for 2%; no local fracture conversion</t>
        </is>
      </c>
    </row>
    <row r="17">
      <c r="A17" s="2" t="inlineStr">
        <is>
          <t>fig2a_bending_vf1</t>
        </is>
      </c>
      <c r="B17" s="2" t="n">
        <v>1</v>
      </c>
      <c r="C17" s="2" t="n">
        <v>0.5844195</v>
      </c>
      <c r="D17" s="2" t="n">
        <v>64.1778</v>
      </c>
      <c r="E17" s="2" t="inlineStr">
        <is>
          <t>mm</t>
        </is>
      </c>
      <c r="F17" s="2" t="inlineStr">
        <is>
          <t>kN</t>
        </is>
      </c>
      <c r="G17" s="2" t="inlineStr">
        <is>
          <t>FIGURE_DIGITIZED_APPROX</t>
        </is>
      </c>
      <c r="H17" s="2" t="inlineStr">
        <is>
          <t>Figure2 p6</t>
        </is>
      </c>
      <c r="I17" s="2" t="inlineStr">
        <is>
          <t>No batch assignment for 2%; no local fracture conversion</t>
        </is>
      </c>
    </row>
    <row r="18">
      <c r="A18" s="2" t="inlineStr">
        <is>
          <t>fig2a_bending_vf1</t>
        </is>
      </c>
      <c r="B18" s="2" t="n">
        <v>1</v>
      </c>
      <c r="C18" s="2" t="n">
        <v>0.6233808</v>
      </c>
      <c r="D18" s="2" t="n">
        <v>60.65741</v>
      </c>
      <c r="E18" s="2" t="inlineStr">
        <is>
          <t>mm</t>
        </is>
      </c>
      <c r="F18" s="2" t="inlineStr">
        <is>
          <t>kN</t>
        </is>
      </c>
      <c r="G18" s="2" t="inlineStr">
        <is>
          <t>FIGURE_DIGITIZED_APPROX</t>
        </is>
      </c>
      <c r="H18" s="2" t="inlineStr">
        <is>
          <t>Figure2 p6</t>
        </is>
      </c>
      <c r="I18" s="2" t="inlineStr">
        <is>
          <t>No batch assignment for 2%; no local fracture conversion</t>
        </is>
      </c>
    </row>
    <row r="19">
      <c r="A19" s="2" t="inlineStr">
        <is>
          <t>fig2a_bending_vf1</t>
        </is>
      </c>
      <c r="B19" s="2" t="n">
        <v>1</v>
      </c>
      <c r="C19" s="2" t="n">
        <v>0.6623421</v>
      </c>
      <c r="D19" s="2" t="n">
        <v>61.0075</v>
      </c>
      <c r="E19" s="2" t="inlineStr">
        <is>
          <t>mm</t>
        </is>
      </c>
      <c r="F19" s="2" t="inlineStr">
        <is>
          <t>kN</t>
        </is>
      </c>
      <c r="G19" s="2" t="inlineStr">
        <is>
          <t>FIGURE_DIGITIZED_APPROX</t>
        </is>
      </c>
      <c r="H19" s="2" t="inlineStr">
        <is>
          <t>Figure2 p6</t>
        </is>
      </c>
      <c r="I19" s="2" t="inlineStr">
        <is>
          <t>No batch assignment for 2%; no local fracture conversion</t>
        </is>
      </c>
    </row>
    <row r="20">
      <c r="A20" s="2" t="inlineStr">
        <is>
          <t>fig2a_bending_vf1</t>
        </is>
      </c>
      <c r="B20" s="2" t="n">
        <v>1</v>
      </c>
      <c r="C20" s="2" t="n">
        <v>0.7013034</v>
      </c>
      <c r="D20" s="2" t="n">
        <v>61.34684</v>
      </c>
      <c r="E20" s="2" t="inlineStr">
        <is>
          <t>mm</t>
        </is>
      </c>
      <c r="F20" s="2" t="inlineStr">
        <is>
          <t>kN</t>
        </is>
      </c>
      <c r="G20" s="2" t="inlineStr">
        <is>
          <t>FIGURE_DIGITIZED_APPROX</t>
        </is>
      </c>
      <c r="H20" s="2" t="inlineStr">
        <is>
          <t>Figure2 p6</t>
        </is>
      </c>
      <c r="I20" s="2" t="inlineStr">
        <is>
          <t>No batch assignment for 2%; no local fracture conversion</t>
        </is>
      </c>
    </row>
    <row r="21">
      <c r="A21" s="2" t="inlineStr">
        <is>
          <t>fig2a_bending_vf1</t>
        </is>
      </c>
      <c r="B21" s="2" t="n">
        <v>1</v>
      </c>
      <c r="C21" s="2" t="n">
        <v>0.7402647</v>
      </c>
      <c r="D21" s="2" t="n">
        <v>61.56979</v>
      </c>
      <c r="E21" s="2" t="inlineStr">
        <is>
          <t>mm</t>
        </is>
      </c>
      <c r="F21" s="2" t="inlineStr">
        <is>
          <t>kN</t>
        </is>
      </c>
      <c r="G21" s="2" t="inlineStr">
        <is>
          <t>FIGURE_DIGITIZED_APPROX</t>
        </is>
      </c>
      <c r="H21" s="2" t="inlineStr">
        <is>
          <t>Figure2 p6</t>
        </is>
      </c>
      <c r="I21" s="2" t="inlineStr">
        <is>
          <t>No batch assignment for 2%; no local fracture conversion</t>
        </is>
      </c>
    </row>
    <row r="22">
      <c r="A22" s="2" t="inlineStr">
        <is>
          <t>fig2a_bending_vf1</t>
        </is>
      </c>
      <c r="B22" s="2" t="n">
        <v>1</v>
      </c>
      <c r="C22" s="2" t="n">
        <v>0.779226</v>
      </c>
      <c r="D22" s="2" t="n">
        <v>61.49352</v>
      </c>
      <c r="E22" s="2" t="inlineStr">
        <is>
          <t>mm</t>
        </is>
      </c>
      <c r="F22" s="2" t="inlineStr">
        <is>
          <t>kN</t>
        </is>
      </c>
      <c r="G22" s="2" t="inlineStr">
        <is>
          <t>FIGURE_DIGITIZED_APPROX</t>
        </is>
      </c>
      <c r="H22" s="2" t="inlineStr">
        <is>
          <t>Figure2 p6</t>
        </is>
      </c>
      <c r="I22" s="2" t="inlineStr">
        <is>
          <t>No batch assignment for 2%; no local fracture conversion</t>
        </is>
      </c>
    </row>
    <row r="23">
      <c r="A23" s="2" t="inlineStr">
        <is>
          <t>fig2a_bending_vf1</t>
        </is>
      </c>
      <c r="B23" s="2" t="n">
        <v>1</v>
      </c>
      <c r="C23" s="2" t="n">
        <v>0.8181873</v>
      </c>
      <c r="D23" s="2" t="n">
        <v>61.17178</v>
      </c>
      <c r="E23" s="2" t="inlineStr">
        <is>
          <t>mm</t>
        </is>
      </c>
      <c r="F23" s="2" t="inlineStr">
        <is>
          <t>kN</t>
        </is>
      </c>
      <c r="G23" s="2" t="inlineStr">
        <is>
          <t>FIGURE_DIGITIZED_APPROX</t>
        </is>
      </c>
      <c r="H23" s="2" t="inlineStr">
        <is>
          <t>Figure2 p6</t>
        </is>
      </c>
      <c r="I23" s="2" t="inlineStr">
        <is>
          <t>No batch assignment for 2%; no local fracture conversion</t>
        </is>
      </c>
    </row>
    <row r="24">
      <c r="A24" s="2" t="inlineStr">
        <is>
          <t>fig2a_bending_vf1</t>
        </is>
      </c>
      <c r="B24" s="2" t="n">
        <v>1</v>
      </c>
      <c r="C24" s="2" t="n">
        <v>0.8571486</v>
      </c>
      <c r="D24" s="2" t="n">
        <v>60.73321</v>
      </c>
      <c r="E24" s="2" t="inlineStr">
        <is>
          <t>mm</t>
        </is>
      </c>
      <c r="F24" s="2" t="inlineStr">
        <is>
          <t>kN</t>
        </is>
      </c>
      <c r="G24" s="2" t="inlineStr">
        <is>
          <t>FIGURE_DIGITIZED_APPROX</t>
        </is>
      </c>
      <c r="H24" s="2" t="inlineStr">
        <is>
          <t>Figure2 p6</t>
        </is>
      </c>
      <c r="I24" s="2" t="inlineStr">
        <is>
          <t>No batch assignment for 2%; no local fracture conversion</t>
        </is>
      </c>
    </row>
    <row r="25">
      <c r="A25" s="2" t="inlineStr">
        <is>
          <t>fig2a_bending_vf1</t>
        </is>
      </c>
      <c r="B25" s="2" t="n">
        <v>1</v>
      </c>
      <c r="C25" s="2" t="n">
        <v>0.8961099</v>
      </c>
      <c r="D25" s="2" t="n">
        <v>60.45795</v>
      </c>
      <c r="E25" s="2" t="inlineStr">
        <is>
          <t>mm</t>
        </is>
      </c>
      <c r="F25" s="2" t="inlineStr">
        <is>
          <t>kN</t>
        </is>
      </c>
      <c r="G25" s="2" t="inlineStr">
        <is>
          <t>FIGURE_DIGITIZED_APPROX</t>
        </is>
      </c>
      <c r="H25" s="2" t="inlineStr">
        <is>
          <t>Figure2 p6</t>
        </is>
      </c>
      <c r="I25" s="2" t="inlineStr">
        <is>
          <t>No batch assignment for 2%; no local fracture conversion</t>
        </is>
      </c>
    </row>
    <row r="26">
      <c r="A26" s="2" t="inlineStr">
        <is>
          <t>fig2a_bending_vf1</t>
        </is>
      </c>
      <c r="B26" s="2" t="n">
        <v>1</v>
      </c>
      <c r="C26" s="2" t="n">
        <v>0.9350712</v>
      </c>
      <c r="D26" s="2" t="n">
        <v>59.86142</v>
      </c>
      <c r="E26" s="2" t="inlineStr">
        <is>
          <t>mm</t>
        </is>
      </c>
      <c r="F26" s="2" t="inlineStr">
        <is>
          <t>kN</t>
        </is>
      </c>
      <c r="G26" s="2" t="inlineStr">
        <is>
          <t>FIGURE_DIGITIZED_APPROX</t>
        </is>
      </c>
      <c r="H26" s="2" t="inlineStr">
        <is>
          <t>Figure2 p6</t>
        </is>
      </c>
      <c r="I26" s="2" t="inlineStr">
        <is>
          <t>No batch assignment for 2%; no local fracture conversion</t>
        </is>
      </c>
    </row>
    <row r="27">
      <c r="A27" s="2" t="inlineStr">
        <is>
          <t>fig2a_bending_vf1</t>
        </is>
      </c>
      <c r="B27" s="2" t="n">
        <v>1</v>
      </c>
      <c r="C27" s="2" t="n">
        <v>0.9740324</v>
      </c>
      <c r="D27" s="2" t="n">
        <v>58.83857</v>
      </c>
      <c r="E27" s="2" t="inlineStr">
        <is>
          <t>mm</t>
        </is>
      </c>
      <c r="F27" s="2" t="inlineStr">
        <is>
          <t>kN</t>
        </is>
      </c>
      <c r="G27" s="2" t="inlineStr">
        <is>
          <t>FIGURE_DIGITIZED_APPROX</t>
        </is>
      </c>
      <c r="H27" s="2" t="inlineStr">
        <is>
          <t>Figure2 p6</t>
        </is>
      </c>
      <c r="I27" s="2" t="inlineStr">
        <is>
          <t>No batch assignment for 2%; no local fracture conversion</t>
        </is>
      </c>
    </row>
    <row r="28">
      <c r="A28" s="2" t="inlineStr">
        <is>
          <t>fig2a_bending_vf1</t>
        </is>
      </c>
      <c r="B28" s="2" t="n">
        <v>1</v>
      </c>
      <c r="C28" s="2" t="n">
        <v>1.0129937</v>
      </c>
      <c r="D28" s="2" t="n">
        <v>58.42295</v>
      </c>
      <c r="E28" s="2" t="inlineStr">
        <is>
          <t>mm</t>
        </is>
      </c>
      <c r="F28" s="2" t="inlineStr">
        <is>
          <t>kN</t>
        </is>
      </c>
      <c r="G28" s="2" t="inlineStr">
        <is>
          <t>FIGURE_DIGITIZED_APPROX</t>
        </is>
      </c>
      <c r="H28" s="2" t="inlineStr">
        <is>
          <t>Figure2 p6</t>
        </is>
      </c>
      <c r="I28" s="2" t="inlineStr">
        <is>
          <t>No batch assignment for 2%; no local fracture conversion</t>
        </is>
      </c>
    </row>
    <row r="29">
      <c r="A29" s="2" t="inlineStr">
        <is>
          <t>fig2a_bending_vf1</t>
        </is>
      </c>
      <c r="B29" s="2" t="n">
        <v>1</v>
      </c>
      <c r="C29" s="2" t="n">
        <v>1.051955</v>
      </c>
      <c r="D29" s="2" t="n">
        <v>58.09536</v>
      </c>
      <c r="E29" s="2" t="inlineStr">
        <is>
          <t>mm</t>
        </is>
      </c>
      <c r="F29" s="2" t="inlineStr">
        <is>
          <t>kN</t>
        </is>
      </c>
      <c r="G29" s="2" t="inlineStr">
        <is>
          <t>FIGURE_DIGITIZED_APPROX</t>
        </is>
      </c>
      <c r="H29" s="2" t="inlineStr">
        <is>
          <t>Figure2 p6</t>
        </is>
      </c>
      <c r="I29" s="2" t="inlineStr">
        <is>
          <t>No batch assignment for 2%; no local fracture conversion</t>
        </is>
      </c>
    </row>
    <row r="30">
      <c r="A30" s="2" t="inlineStr">
        <is>
          <t>fig2a_bending_vf1</t>
        </is>
      </c>
      <c r="B30" s="2" t="n">
        <v>1</v>
      </c>
      <c r="C30" s="2" t="n">
        <v>1.0909163</v>
      </c>
      <c r="D30" s="2" t="n">
        <v>57.81472</v>
      </c>
      <c r="E30" s="2" t="inlineStr">
        <is>
          <t>mm</t>
        </is>
      </c>
      <c r="F30" s="2" t="inlineStr">
        <is>
          <t>kN</t>
        </is>
      </c>
      <c r="G30" s="2" t="inlineStr">
        <is>
          <t>FIGURE_DIGITIZED_APPROX</t>
        </is>
      </c>
      <c r="H30" s="2" t="inlineStr">
        <is>
          <t>Figure2 p6</t>
        </is>
      </c>
      <c r="I30" s="2" t="inlineStr">
        <is>
          <t>No batch assignment for 2%; no local fracture conversion</t>
        </is>
      </c>
    </row>
    <row r="31">
      <c r="A31" s="2" t="inlineStr">
        <is>
          <t>fig2a_bending_vf1</t>
        </is>
      </c>
      <c r="B31" s="2" t="n">
        <v>1</v>
      </c>
      <c r="C31" s="2" t="n">
        <v>1.1298776</v>
      </c>
      <c r="D31" s="2" t="n">
        <v>57.25341</v>
      </c>
      <c r="E31" s="2" t="inlineStr">
        <is>
          <t>mm</t>
        </is>
      </c>
      <c r="F31" s="2" t="inlineStr">
        <is>
          <t>kN</t>
        </is>
      </c>
      <c r="G31" s="2" t="inlineStr">
        <is>
          <t>FIGURE_DIGITIZED_APPROX</t>
        </is>
      </c>
      <c r="H31" s="2" t="inlineStr">
        <is>
          <t>Figure2 p6</t>
        </is>
      </c>
      <c r="I31" s="2" t="inlineStr">
        <is>
          <t>No batch assignment for 2%; no local fracture conversion</t>
        </is>
      </c>
    </row>
    <row r="32">
      <c r="A32" s="2" t="inlineStr">
        <is>
          <t>fig2a_bending_vf1</t>
        </is>
      </c>
      <c r="B32" s="2" t="n">
        <v>1</v>
      </c>
      <c r="C32" s="2" t="n">
        <v>1.1688389</v>
      </c>
      <c r="D32" s="2" t="n">
        <v>56.86177</v>
      </c>
      <c r="E32" s="2" t="inlineStr">
        <is>
          <t>mm</t>
        </is>
      </c>
      <c r="F32" s="2" t="inlineStr">
        <is>
          <t>kN</t>
        </is>
      </c>
      <c r="G32" s="2" t="inlineStr">
        <is>
          <t>FIGURE_DIGITIZED_APPROX</t>
        </is>
      </c>
      <c r="H32" s="2" t="inlineStr">
        <is>
          <t>Figure2 p6</t>
        </is>
      </c>
      <c r="I32" s="2" t="inlineStr">
        <is>
          <t>No batch assignment for 2%; no local fracture conversion</t>
        </is>
      </c>
    </row>
    <row r="33">
      <c r="A33" s="2" t="inlineStr">
        <is>
          <t>fig2a_bending_vf1</t>
        </is>
      </c>
      <c r="B33" s="2" t="n">
        <v>1</v>
      </c>
      <c r="C33" s="2" t="n">
        <v>1.2078002</v>
      </c>
      <c r="D33" s="2" t="n">
        <v>56.45841</v>
      </c>
      <c r="E33" s="2" t="inlineStr">
        <is>
          <t>mm</t>
        </is>
      </c>
      <c r="F33" s="2" t="inlineStr">
        <is>
          <t>kN</t>
        </is>
      </c>
      <c r="G33" s="2" t="inlineStr">
        <is>
          <t>FIGURE_DIGITIZED_APPROX</t>
        </is>
      </c>
      <c r="H33" s="2" t="inlineStr">
        <is>
          <t>Figure2 p6</t>
        </is>
      </c>
      <c r="I33" s="2" t="inlineStr">
        <is>
          <t>No batch assignment for 2%; no local fracture conversion</t>
        </is>
      </c>
    </row>
    <row r="34">
      <c r="A34" s="2" t="inlineStr">
        <is>
          <t>fig2a_bending_vf1</t>
        </is>
      </c>
      <c r="B34" s="2" t="n">
        <v>1</v>
      </c>
      <c r="C34" s="2" t="n">
        <v>1.2467615</v>
      </c>
      <c r="D34" s="2" t="n">
        <v>56.15428</v>
      </c>
      <c r="E34" s="2" t="inlineStr">
        <is>
          <t>mm</t>
        </is>
      </c>
      <c r="F34" s="2" t="inlineStr">
        <is>
          <t>kN</t>
        </is>
      </c>
      <c r="G34" s="2" t="inlineStr">
        <is>
          <t>FIGURE_DIGITIZED_APPROX</t>
        </is>
      </c>
      <c r="H34" s="2" t="inlineStr">
        <is>
          <t>Figure2 p6</t>
        </is>
      </c>
      <c r="I34" s="2" t="inlineStr">
        <is>
          <t>No batch assignment for 2%; no local fracture conversion</t>
        </is>
      </c>
    </row>
    <row r="35">
      <c r="A35" s="2" t="inlineStr">
        <is>
          <t>fig2a_bending_vf1</t>
        </is>
      </c>
      <c r="B35" s="2" t="n">
        <v>1</v>
      </c>
      <c r="C35" s="2" t="n">
        <v>1.2857228</v>
      </c>
      <c r="D35" s="2" t="n">
        <v>55.79148</v>
      </c>
      <c r="E35" s="2" t="inlineStr">
        <is>
          <t>mm</t>
        </is>
      </c>
      <c r="F35" s="2" t="inlineStr">
        <is>
          <t>kN</t>
        </is>
      </c>
      <c r="G35" s="2" t="inlineStr">
        <is>
          <t>FIGURE_DIGITIZED_APPROX</t>
        </is>
      </c>
      <c r="H35" s="2" t="inlineStr">
        <is>
          <t>Figure2 p6</t>
        </is>
      </c>
      <c r="I35" s="2" t="inlineStr">
        <is>
          <t>No batch assignment for 2%; no local fracture conversion</t>
        </is>
      </c>
    </row>
    <row r="36">
      <c r="A36" s="2" t="inlineStr">
        <is>
          <t>fig2a_bending_vf1</t>
        </is>
      </c>
      <c r="B36" s="2" t="n">
        <v>1</v>
      </c>
      <c r="C36" s="2" t="n">
        <v>1.3246841</v>
      </c>
      <c r="D36" s="2" t="n">
        <v>55.46387</v>
      </c>
      <c r="E36" s="2" t="inlineStr">
        <is>
          <t>mm</t>
        </is>
      </c>
      <c r="F36" s="2" t="inlineStr">
        <is>
          <t>kN</t>
        </is>
      </c>
      <c r="G36" s="2" t="inlineStr">
        <is>
          <t>FIGURE_DIGITIZED_APPROX</t>
        </is>
      </c>
      <c r="H36" s="2" t="inlineStr">
        <is>
          <t>Figure2 p6</t>
        </is>
      </c>
      <c r="I36" s="2" t="inlineStr">
        <is>
          <t>No batch assignment for 2%; no local fracture conversion</t>
        </is>
      </c>
    </row>
    <row r="37">
      <c r="A37" s="2" t="inlineStr">
        <is>
          <t>fig2a_bending_vf1</t>
        </is>
      </c>
      <c r="B37" s="2" t="n">
        <v>1</v>
      </c>
      <c r="C37" s="2" t="n">
        <v>1.3636454</v>
      </c>
      <c r="D37" s="2" t="n">
        <v>55.18323</v>
      </c>
      <c r="E37" s="2" t="inlineStr">
        <is>
          <t>mm</t>
        </is>
      </c>
      <c r="F37" s="2" t="inlineStr">
        <is>
          <t>kN</t>
        </is>
      </c>
      <c r="G37" s="2" t="inlineStr">
        <is>
          <t>FIGURE_DIGITIZED_APPROX</t>
        </is>
      </c>
      <c r="H37" s="2" t="inlineStr">
        <is>
          <t>Figure2 p6</t>
        </is>
      </c>
      <c r="I37" s="2" t="inlineStr">
        <is>
          <t>No batch assignment for 2%; no local fracture conversion</t>
        </is>
      </c>
    </row>
    <row r="38">
      <c r="A38" s="2" t="inlineStr">
        <is>
          <t>fig2a_bending_vf1</t>
        </is>
      </c>
      <c r="B38" s="2" t="n">
        <v>1</v>
      </c>
      <c r="C38" s="2" t="n">
        <v>1.4026067</v>
      </c>
      <c r="D38" s="2" t="n">
        <v>54.00194</v>
      </c>
      <c r="E38" s="2" t="inlineStr">
        <is>
          <t>mm</t>
        </is>
      </c>
      <c r="F38" s="2" t="inlineStr">
        <is>
          <t>kN</t>
        </is>
      </c>
      <c r="G38" s="2" t="inlineStr">
        <is>
          <t>FIGURE_DIGITIZED_APPROX</t>
        </is>
      </c>
      <c r="H38" s="2" t="inlineStr">
        <is>
          <t>Figure2 p6</t>
        </is>
      </c>
      <c r="I38" s="2" t="inlineStr">
        <is>
          <t>No batch assignment for 2%; no local fracture conversion</t>
        </is>
      </c>
    </row>
    <row r="39">
      <c r="A39" s="2" t="inlineStr">
        <is>
          <t>fig2a_bending_vf1</t>
        </is>
      </c>
      <c r="B39" s="2" t="n">
        <v>1</v>
      </c>
      <c r="C39" s="2" t="n">
        <v>1.441568</v>
      </c>
      <c r="D39" s="2" t="n">
        <v>53.67436</v>
      </c>
      <c r="E39" s="2" t="inlineStr">
        <is>
          <t>mm</t>
        </is>
      </c>
      <c r="F39" s="2" t="inlineStr">
        <is>
          <t>kN</t>
        </is>
      </c>
      <c r="G39" s="2" t="inlineStr">
        <is>
          <t>FIGURE_DIGITIZED_APPROX</t>
        </is>
      </c>
      <c r="H39" s="2" t="inlineStr">
        <is>
          <t>Figure2 p6</t>
        </is>
      </c>
      <c r="I39" s="2" t="inlineStr">
        <is>
          <t>No batch assignment for 2%; no local fracture conversion</t>
        </is>
      </c>
    </row>
    <row r="40">
      <c r="A40" s="2" t="inlineStr">
        <is>
          <t>fig2a_bending_vf1</t>
        </is>
      </c>
      <c r="B40" s="2" t="n">
        <v>1</v>
      </c>
      <c r="C40" s="2" t="n">
        <v>1.4805293</v>
      </c>
      <c r="D40" s="2" t="n">
        <v>53.22943</v>
      </c>
      <c r="E40" s="2" t="inlineStr">
        <is>
          <t>mm</t>
        </is>
      </c>
      <c r="F40" s="2" t="inlineStr">
        <is>
          <t>kN</t>
        </is>
      </c>
      <c r="G40" s="2" t="inlineStr">
        <is>
          <t>FIGURE_DIGITIZED_APPROX</t>
        </is>
      </c>
      <c r="H40" s="2" t="inlineStr">
        <is>
          <t>Figure2 p6</t>
        </is>
      </c>
      <c r="I40" s="2" t="inlineStr">
        <is>
          <t>No batch assignment for 2%; no local fracture conversion</t>
        </is>
      </c>
    </row>
    <row r="41">
      <c r="A41" s="2" t="inlineStr">
        <is>
          <t>fig2a_bending_vf1</t>
        </is>
      </c>
      <c r="B41" s="2" t="n">
        <v>1</v>
      </c>
      <c r="C41" s="2" t="n">
        <v>1.5194906</v>
      </c>
      <c r="D41" s="2" t="n">
        <v>52.84413</v>
      </c>
      <c r="E41" s="2" t="inlineStr">
        <is>
          <t>mm</t>
        </is>
      </c>
      <c r="F41" s="2" t="inlineStr">
        <is>
          <t>kN</t>
        </is>
      </c>
      <c r="G41" s="2" t="inlineStr">
        <is>
          <t>FIGURE_DIGITIZED_APPROX</t>
        </is>
      </c>
      <c r="H41" s="2" t="inlineStr">
        <is>
          <t>Figure2 p6</t>
        </is>
      </c>
      <c r="I41" s="2" t="inlineStr">
        <is>
          <t>No batch assignment for 2%; no local fracture conversion</t>
        </is>
      </c>
    </row>
    <row r="42">
      <c r="A42" s="2" t="inlineStr">
        <is>
          <t>fig2a_bending_vf1</t>
        </is>
      </c>
      <c r="B42" s="2" t="n">
        <v>1</v>
      </c>
      <c r="C42" s="2" t="n">
        <v>1.5584519</v>
      </c>
      <c r="D42" s="2" t="n">
        <v>52.58695</v>
      </c>
      <c r="E42" s="2" t="inlineStr">
        <is>
          <t>mm</t>
        </is>
      </c>
      <c r="F42" s="2" t="inlineStr">
        <is>
          <t>kN</t>
        </is>
      </c>
      <c r="G42" s="2" t="inlineStr">
        <is>
          <t>FIGURE_DIGITIZED_APPROX</t>
        </is>
      </c>
      <c r="H42" s="2" t="inlineStr">
        <is>
          <t>Figure2 p6</t>
        </is>
      </c>
      <c r="I42" s="2" t="inlineStr">
        <is>
          <t>No batch assignment for 2%; no local fracture conversion</t>
        </is>
      </c>
    </row>
    <row r="43">
      <c r="A43" s="2" t="inlineStr">
        <is>
          <t>fig2a_bending_vf1</t>
        </is>
      </c>
      <c r="B43" s="2" t="n">
        <v>1</v>
      </c>
      <c r="C43" s="2" t="n">
        <v>1.5974132</v>
      </c>
      <c r="D43" s="2" t="n">
        <v>52.18894</v>
      </c>
      <c r="E43" s="2" t="inlineStr">
        <is>
          <t>mm</t>
        </is>
      </c>
      <c r="F43" s="2" t="inlineStr">
        <is>
          <t>kN</t>
        </is>
      </c>
      <c r="G43" s="2" t="inlineStr">
        <is>
          <t>FIGURE_DIGITIZED_APPROX</t>
        </is>
      </c>
      <c r="H43" s="2" t="inlineStr">
        <is>
          <t>Figure2 p6</t>
        </is>
      </c>
      <c r="I43" s="2" t="inlineStr">
        <is>
          <t>No batch assignment for 2%; no local fracture conversion</t>
        </is>
      </c>
    </row>
    <row r="44">
      <c r="A44" s="2" t="inlineStr">
        <is>
          <t>fig2a_bending_vf1</t>
        </is>
      </c>
      <c r="B44" s="2" t="n">
        <v>1</v>
      </c>
      <c r="C44" s="2" t="n">
        <v>1.6363745</v>
      </c>
      <c r="D44" s="2" t="n">
        <v>51.89756</v>
      </c>
      <c r="E44" s="2" t="inlineStr">
        <is>
          <t>mm</t>
        </is>
      </c>
      <c r="F44" s="2" t="inlineStr">
        <is>
          <t>kN</t>
        </is>
      </c>
      <c r="G44" s="2" t="inlineStr">
        <is>
          <t>FIGURE_DIGITIZED_APPROX</t>
        </is>
      </c>
      <c r="H44" s="2" t="inlineStr">
        <is>
          <t>Figure2 p6</t>
        </is>
      </c>
      <c r="I44" s="2" t="inlineStr">
        <is>
          <t>No batch assignment for 2%; no local fracture conversion</t>
        </is>
      </c>
    </row>
    <row r="45">
      <c r="A45" s="2" t="inlineStr">
        <is>
          <t>fig2a_bending_vf1</t>
        </is>
      </c>
      <c r="B45" s="2" t="n">
        <v>1</v>
      </c>
      <c r="C45" s="2" t="n">
        <v>1.6753358</v>
      </c>
      <c r="D45" s="2" t="n">
        <v>51.51715</v>
      </c>
      <c r="E45" s="2" t="inlineStr">
        <is>
          <t>mm</t>
        </is>
      </c>
      <c r="F45" s="2" t="inlineStr">
        <is>
          <t>kN</t>
        </is>
      </c>
      <c r="G45" s="2" t="inlineStr">
        <is>
          <t>FIGURE_DIGITIZED_APPROX</t>
        </is>
      </c>
      <c r="H45" s="2" t="inlineStr">
        <is>
          <t>Figure2 p6</t>
        </is>
      </c>
      <c r="I45" s="2" t="inlineStr">
        <is>
          <t>No batch assignment for 2%; no local fracture conversion</t>
        </is>
      </c>
    </row>
    <row r="46">
      <c r="A46" s="2" t="inlineStr">
        <is>
          <t>fig2a_bending_vf1</t>
        </is>
      </c>
      <c r="B46" s="2" t="n">
        <v>1</v>
      </c>
      <c r="C46" s="2" t="n">
        <v>1.7142971</v>
      </c>
      <c r="D46" s="2" t="n">
        <v>51.15434</v>
      </c>
      <c r="E46" s="2" t="inlineStr">
        <is>
          <t>mm</t>
        </is>
      </c>
      <c r="F46" s="2" t="inlineStr">
        <is>
          <t>kN</t>
        </is>
      </c>
      <c r="G46" s="2" t="inlineStr">
        <is>
          <t>FIGURE_DIGITIZED_APPROX</t>
        </is>
      </c>
      <c r="H46" s="2" t="inlineStr">
        <is>
          <t>Figure2 p6</t>
        </is>
      </c>
      <c r="I46" s="2" t="inlineStr">
        <is>
          <t>No batch assignment for 2%; no local fracture conversion</t>
        </is>
      </c>
    </row>
    <row r="47">
      <c r="A47" s="2" t="inlineStr">
        <is>
          <t>fig2a_bending_vf1</t>
        </is>
      </c>
      <c r="B47" s="2" t="n">
        <v>1</v>
      </c>
      <c r="C47" s="2" t="n">
        <v>1.7532584</v>
      </c>
      <c r="D47" s="2" t="n">
        <v>50.75636</v>
      </c>
      <c r="E47" s="2" t="inlineStr">
        <is>
          <t>mm</t>
        </is>
      </c>
      <c r="F47" s="2" t="inlineStr">
        <is>
          <t>kN</t>
        </is>
      </c>
      <c r="G47" s="2" t="inlineStr">
        <is>
          <t>FIGURE_DIGITIZED_APPROX</t>
        </is>
      </c>
      <c r="H47" s="2" t="inlineStr">
        <is>
          <t>Figure2 p6</t>
        </is>
      </c>
      <c r="I47" s="2" t="inlineStr">
        <is>
          <t>No batch assignment for 2%; no local fracture conversion</t>
        </is>
      </c>
    </row>
    <row r="48">
      <c r="A48" s="2" t="inlineStr">
        <is>
          <t>fig2a_bending_vf1</t>
        </is>
      </c>
      <c r="B48" s="2" t="n">
        <v>1</v>
      </c>
      <c r="C48" s="2" t="n">
        <v>1.7922197</v>
      </c>
      <c r="D48" s="2" t="n">
        <v>50.20678</v>
      </c>
      <c r="E48" s="2" t="inlineStr">
        <is>
          <t>mm</t>
        </is>
      </c>
      <c r="F48" s="2" t="inlineStr">
        <is>
          <t>kN</t>
        </is>
      </c>
      <c r="G48" s="2" t="inlineStr">
        <is>
          <t>FIGURE_DIGITIZED_APPROX</t>
        </is>
      </c>
      <c r="H48" s="2" t="inlineStr">
        <is>
          <t>Figure2 p6</t>
        </is>
      </c>
      <c r="I48" s="2" t="inlineStr">
        <is>
          <t>No batch assignment for 2%; no local fracture conversion</t>
        </is>
      </c>
    </row>
    <row r="49">
      <c r="A49" s="2" t="inlineStr">
        <is>
          <t>fig2a_bending_vf1</t>
        </is>
      </c>
      <c r="B49" s="2" t="n">
        <v>1</v>
      </c>
      <c r="C49" s="2" t="n">
        <v>1.831181</v>
      </c>
      <c r="D49" s="2" t="n">
        <v>49.69829</v>
      </c>
      <c r="E49" s="2" t="inlineStr">
        <is>
          <t>mm</t>
        </is>
      </c>
      <c r="F49" s="2" t="inlineStr">
        <is>
          <t>kN</t>
        </is>
      </c>
      <c r="G49" s="2" t="inlineStr">
        <is>
          <t>FIGURE_DIGITIZED_APPROX</t>
        </is>
      </c>
      <c r="H49" s="2" t="inlineStr">
        <is>
          <t>Figure2 p6</t>
        </is>
      </c>
      <c r="I49" s="2" t="inlineStr">
        <is>
          <t>No batch assignment for 2%; no local fracture conversion</t>
        </is>
      </c>
    </row>
    <row r="50">
      <c r="A50" s="2" t="inlineStr">
        <is>
          <t>fig2a_bending_vf1</t>
        </is>
      </c>
      <c r="B50" s="2" t="n">
        <v>1</v>
      </c>
      <c r="C50" s="2" t="n">
        <v>1.8701423</v>
      </c>
      <c r="D50" s="2" t="n">
        <v>49.30029</v>
      </c>
      <c r="E50" s="2" t="inlineStr">
        <is>
          <t>mm</t>
        </is>
      </c>
      <c r="F50" s="2" t="inlineStr">
        <is>
          <t>kN</t>
        </is>
      </c>
      <c r="G50" s="2" t="inlineStr">
        <is>
          <t>FIGURE_DIGITIZED_APPROX</t>
        </is>
      </c>
      <c r="H50" s="2" t="inlineStr">
        <is>
          <t>Figure2 p6</t>
        </is>
      </c>
      <c r="I50" s="2" t="inlineStr">
        <is>
          <t>No batch assignment for 2%; no local fracture conversion</t>
        </is>
      </c>
    </row>
    <row r="51">
      <c r="A51" s="2" t="inlineStr">
        <is>
          <t>fig2a_bending_vf1</t>
        </is>
      </c>
      <c r="B51" s="2" t="n">
        <v>1</v>
      </c>
      <c r="C51" s="2" t="n">
        <v>1.9091036</v>
      </c>
      <c r="D51" s="2" t="n">
        <v>48.87882</v>
      </c>
      <c r="E51" s="2" t="inlineStr">
        <is>
          <t>mm</t>
        </is>
      </c>
      <c r="F51" s="2" t="inlineStr">
        <is>
          <t>kN</t>
        </is>
      </c>
      <c r="G51" s="2" t="inlineStr">
        <is>
          <t>FIGURE_DIGITIZED_APPROX</t>
        </is>
      </c>
      <c r="H51" s="2" t="inlineStr">
        <is>
          <t>Figure2 p6</t>
        </is>
      </c>
      <c r="I51" s="2" t="inlineStr">
        <is>
          <t>No batch assignment for 2%; no local fracture conversion</t>
        </is>
      </c>
    </row>
    <row r="52">
      <c r="A52" s="2" t="inlineStr">
        <is>
          <t>fig2a_bending_vf1</t>
        </is>
      </c>
      <c r="B52" s="2" t="n">
        <v>1</v>
      </c>
      <c r="C52" s="2" t="n">
        <v>1.9480649</v>
      </c>
      <c r="D52" s="2" t="n">
        <v>48.23049</v>
      </c>
      <c r="E52" s="2" t="inlineStr">
        <is>
          <t>mm</t>
        </is>
      </c>
      <c r="F52" s="2" t="inlineStr">
        <is>
          <t>kN</t>
        </is>
      </c>
      <c r="G52" s="2" t="inlineStr">
        <is>
          <t>FIGURE_DIGITIZED_APPROX</t>
        </is>
      </c>
      <c r="H52" s="2" t="inlineStr">
        <is>
          <t>Figure2 p6</t>
        </is>
      </c>
      <c r="I52" s="2" t="inlineStr">
        <is>
          <t>No batch assignment for 2%; no local fracture conversion</t>
        </is>
      </c>
    </row>
    <row r="53">
      <c r="A53" s="2" t="inlineStr">
        <is>
          <t>fig2a_bending_vf1</t>
        </is>
      </c>
      <c r="B53" s="2" t="n">
        <v>1</v>
      </c>
      <c r="C53" s="2" t="n">
        <v>1.9870262</v>
      </c>
      <c r="D53" s="2" t="n">
        <v>47.65158</v>
      </c>
      <c r="E53" s="2" t="inlineStr">
        <is>
          <t>mm</t>
        </is>
      </c>
      <c r="F53" s="2" t="inlineStr">
        <is>
          <t>kN</t>
        </is>
      </c>
      <c r="G53" s="2" t="inlineStr">
        <is>
          <t>FIGURE_DIGITIZED_APPROX</t>
        </is>
      </c>
      <c r="H53" s="2" t="inlineStr">
        <is>
          <t>Figure2 p6</t>
        </is>
      </c>
      <c r="I53" s="2" t="inlineStr">
        <is>
          <t>No batch assignment for 2%; no local fracture conversion</t>
        </is>
      </c>
    </row>
    <row r="54">
      <c r="A54" s="2" t="inlineStr">
        <is>
          <t>fig2a_bending_vf1</t>
        </is>
      </c>
      <c r="B54" s="2" t="n">
        <v>1</v>
      </c>
      <c r="C54" s="2" t="n">
        <v>2.0259875</v>
      </c>
      <c r="D54" s="2" t="n">
        <v>46.6688</v>
      </c>
      <c r="E54" s="2" t="inlineStr">
        <is>
          <t>mm</t>
        </is>
      </c>
      <c r="F54" s="2" t="inlineStr">
        <is>
          <t>kN</t>
        </is>
      </c>
      <c r="G54" s="2" t="inlineStr">
        <is>
          <t>FIGURE_DIGITIZED_APPROX</t>
        </is>
      </c>
      <c r="H54" s="2" t="inlineStr">
        <is>
          <t>Figure2 p6</t>
        </is>
      </c>
      <c r="I54" s="2" t="inlineStr">
        <is>
          <t>No batch assignment for 2%; no local fracture conversion</t>
        </is>
      </c>
    </row>
    <row r="55">
      <c r="A55" s="2" t="inlineStr">
        <is>
          <t>fig2a_bending_vf1</t>
        </is>
      </c>
      <c r="B55" s="2" t="n">
        <v>1</v>
      </c>
      <c r="C55" s="2" t="n">
        <v>2.0649488</v>
      </c>
      <c r="D55" s="2" t="n">
        <v>45.97842</v>
      </c>
      <c r="E55" s="2" t="inlineStr">
        <is>
          <t>mm</t>
        </is>
      </c>
      <c r="F55" s="2" t="inlineStr">
        <is>
          <t>kN</t>
        </is>
      </c>
      <c r="G55" s="2" t="inlineStr">
        <is>
          <t>FIGURE_DIGITIZED_APPROX</t>
        </is>
      </c>
      <c r="H55" s="2" t="inlineStr">
        <is>
          <t>Figure2 p6</t>
        </is>
      </c>
      <c r="I55" s="2" t="inlineStr">
        <is>
          <t>No batch assignment for 2%; no local fracture conversion</t>
        </is>
      </c>
    </row>
    <row r="56">
      <c r="A56" s="2" t="inlineStr">
        <is>
          <t>fig2a_bending_vf1</t>
        </is>
      </c>
      <c r="B56" s="2" t="n">
        <v>1</v>
      </c>
      <c r="C56" s="2" t="n">
        <v>2.1039101</v>
      </c>
      <c r="D56" s="2" t="n">
        <v>45.1482</v>
      </c>
      <c r="E56" s="2" t="inlineStr">
        <is>
          <t>mm</t>
        </is>
      </c>
      <c r="F56" s="2" t="inlineStr">
        <is>
          <t>kN</t>
        </is>
      </c>
      <c r="G56" s="2" t="inlineStr">
        <is>
          <t>FIGURE_DIGITIZED_APPROX</t>
        </is>
      </c>
      <c r="H56" s="2" t="inlineStr">
        <is>
          <t>Figure2 p6</t>
        </is>
      </c>
      <c r="I56" s="2" t="inlineStr">
        <is>
          <t>No batch assignment for 2%; no local fracture conversion</t>
        </is>
      </c>
    </row>
    <row r="57">
      <c r="A57" s="2" t="inlineStr">
        <is>
          <t>fig2a_bending_vf1</t>
        </is>
      </c>
      <c r="B57" s="2" t="n">
        <v>1</v>
      </c>
      <c r="C57" s="2" t="n">
        <v>2.1428714</v>
      </c>
      <c r="D57" s="2" t="n">
        <v>44.56343</v>
      </c>
      <c r="E57" s="2" t="inlineStr">
        <is>
          <t>mm</t>
        </is>
      </c>
      <c r="F57" s="2" t="inlineStr">
        <is>
          <t>kN</t>
        </is>
      </c>
      <c r="G57" s="2" t="inlineStr">
        <is>
          <t>FIGURE_DIGITIZED_APPROX</t>
        </is>
      </c>
      <c r="H57" s="2" t="inlineStr">
        <is>
          <t>Figure2 p6</t>
        </is>
      </c>
      <c r="I57" s="2" t="inlineStr">
        <is>
          <t>No batch assignment for 2%; no local fracture conversion</t>
        </is>
      </c>
    </row>
    <row r="58">
      <c r="A58" s="2" t="inlineStr">
        <is>
          <t>fig2a_bending_vf1</t>
        </is>
      </c>
      <c r="B58" s="2" t="n">
        <v>1</v>
      </c>
      <c r="C58" s="2" t="n">
        <v>2.1818327</v>
      </c>
      <c r="D58" s="2" t="n">
        <v>43.67454</v>
      </c>
      <c r="E58" s="2" t="inlineStr">
        <is>
          <t>mm</t>
        </is>
      </c>
      <c r="F58" s="2" t="inlineStr">
        <is>
          <t>kN</t>
        </is>
      </c>
      <c r="G58" s="2" t="inlineStr">
        <is>
          <t>FIGURE_DIGITIZED_APPROX</t>
        </is>
      </c>
      <c r="H58" s="2" t="inlineStr">
        <is>
          <t>Figure2 p6</t>
        </is>
      </c>
      <c r="I58" s="2" t="inlineStr">
        <is>
          <t>No batch assignment for 2%; no local fracture conversion</t>
        </is>
      </c>
    </row>
    <row r="59">
      <c r="A59" s="2" t="inlineStr">
        <is>
          <t>fig2a_bending_vf1</t>
        </is>
      </c>
      <c r="B59" s="2" t="n">
        <v>1</v>
      </c>
      <c r="C59" s="2" t="n">
        <v>2.220794</v>
      </c>
      <c r="D59" s="2" t="n">
        <v>42.9499</v>
      </c>
      <c r="E59" s="2" t="inlineStr">
        <is>
          <t>mm</t>
        </is>
      </c>
      <c r="F59" s="2" t="inlineStr">
        <is>
          <t>kN</t>
        </is>
      </c>
      <c r="G59" s="2" t="inlineStr">
        <is>
          <t>FIGURE_DIGITIZED_APPROX</t>
        </is>
      </c>
      <c r="H59" s="2" t="inlineStr">
        <is>
          <t>Figure2 p6</t>
        </is>
      </c>
      <c r="I59" s="2" t="inlineStr">
        <is>
          <t>No batch assignment for 2%; no local fracture conversion</t>
        </is>
      </c>
    </row>
    <row r="60">
      <c r="A60" s="2" t="inlineStr">
        <is>
          <t>fig2a_bending_vf1</t>
        </is>
      </c>
      <c r="B60" s="2" t="n">
        <v>1</v>
      </c>
      <c r="C60" s="2" t="n">
        <v>2.2597553</v>
      </c>
      <c r="D60" s="2" t="n">
        <v>42.24779</v>
      </c>
      <c r="E60" s="2" t="inlineStr">
        <is>
          <t>mm</t>
        </is>
      </c>
      <c r="F60" s="2" t="inlineStr">
        <is>
          <t>kN</t>
        </is>
      </c>
      <c r="G60" s="2" t="inlineStr">
        <is>
          <t>FIGURE_DIGITIZED_APPROX</t>
        </is>
      </c>
      <c r="H60" s="2" t="inlineStr">
        <is>
          <t>Figure2 p6</t>
        </is>
      </c>
      <c r="I60" s="2" t="inlineStr">
        <is>
          <t>No batch assignment for 2%; no local fracture conversion</t>
        </is>
      </c>
    </row>
    <row r="61">
      <c r="A61" s="2" t="inlineStr">
        <is>
          <t>fig2a_bending_vf1</t>
        </is>
      </c>
      <c r="B61" s="2" t="n">
        <v>1</v>
      </c>
      <c r="C61" s="2" t="n">
        <v>2.2987166</v>
      </c>
      <c r="D61" s="2" t="n">
        <v>41.70994</v>
      </c>
      <c r="E61" s="2" t="inlineStr">
        <is>
          <t>mm</t>
        </is>
      </c>
      <c r="F61" s="2" t="inlineStr">
        <is>
          <t>kN</t>
        </is>
      </c>
      <c r="G61" s="2" t="inlineStr">
        <is>
          <t>FIGURE_DIGITIZED_APPROX</t>
        </is>
      </c>
      <c r="H61" s="2" t="inlineStr">
        <is>
          <t>Figure2 p6</t>
        </is>
      </c>
      <c r="I61" s="2" t="inlineStr">
        <is>
          <t>No batch assignment for 2%; no local fracture conversion</t>
        </is>
      </c>
    </row>
    <row r="62">
      <c r="A62" s="2" t="inlineStr">
        <is>
          <t>fig2a_bending_vf1</t>
        </is>
      </c>
      <c r="B62" s="2" t="n">
        <v>1</v>
      </c>
      <c r="C62" s="2" t="n">
        <v>2.3376779</v>
      </c>
      <c r="D62" s="2" t="n">
        <v>41.14767</v>
      </c>
      <c r="E62" s="2" t="inlineStr">
        <is>
          <t>mm</t>
        </is>
      </c>
      <c r="F62" s="2" t="inlineStr">
        <is>
          <t>kN</t>
        </is>
      </c>
      <c r="G62" s="2" t="inlineStr">
        <is>
          <t>FIGURE_DIGITIZED_APPROX</t>
        </is>
      </c>
      <c r="H62" s="2" t="inlineStr">
        <is>
          <t>Figure2 p6</t>
        </is>
      </c>
      <c r="I62" s="2" t="inlineStr">
        <is>
          <t>No batch assignment for 2%; no local fracture conversion</t>
        </is>
      </c>
    </row>
    <row r="63">
      <c r="A63" s="2" t="inlineStr">
        <is>
          <t>fig2a_bending_vf1</t>
        </is>
      </c>
      <c r="B63" s="2" t="n">
        <v>1</v>
      </c>
      <c r="C63" s="2" t="n">
        <v>2.3766392</v>
      </c>
      <c r="D63" s="2" t="n">
        <v>40.58735</v>
      </c>
      <c r="E63" s="2" t="inlineStr">
        <is>
          <t>mm</t>
        </is>
      </c>
      <c r="F63" s="2" t="inlineStr">
        <is>
          <t>kN</t>
        </is>
      </c>
      <c r="G63" s="2" t="inlineStr">
        <is>
          <t>FIGURE_DIGITIZED_APPROX</t>
        </is>
      </c>
      <c r="H63" s="2" t="inlineStr">
        <is>
          <t>Figure2 p6</t>
        </is>
      </c>
      <c r="I63" s="2" t="inlineStr">
        <is>
          <t>No batch assignment for 2%; no local fracture conversion</t>
        </is>
      </c>
    </row>
    <row r="64">
      <c r="A64" s="2" t="inlineStr">
        <is>
          <t>fig2a_bending_vf1</t>
        </is>
      </c>
      <c r="B64" s="2" t="n">
        <v>1</v>
      </c>
      <c r="C64" s="2" t="n">
        <v>2.4156005</v>
      </c>
      <c r="D64" s="2" t="n">
        <v>40.07199</v>
      </c>
      <c r="E64" s="2" t="inlineStr">
        <is>
          <t>mm</t>
        </is>
      </c>
      <c r="F64" s="2" t="inlineStr">
        <is>
          <t>kN</t>
        </is>
      </c>
      <c r="G64" s="2" t="inlineStr">
        <is>
          <t>FIGURE_DIGITIZED_APPROX</t>
        </is>
      </c>
      <c r="H64" s="2" t="inlineStr">
        <is>
          <t>Figure2 p6</t>
        </is>
      </c>
      <c r="I64" s="2" t="inlineStr">
        <is>
          <t>No batch assignment for 2%; no local fracture conversion</t>
        </is>
      </c>
    </row>
    <row r="65">
      <c r="A65" s="2" t="inlineStr">
        <is>
          <t>fig2a_bending_vf1</t>
        </is>
      </c>
      <c r="B65" s="2" t="n">
        <v>1</v>
      </c>
      <c r="C65" s="2" t="n">
        <v>2.4545618</v>
      </c>
      <c r="D65" s="2" t="n">
        <v>39.58111</v>
      </c>
      <c r="E65" s="2" t="inlineStr">
        <is>
          <t>mm</t>
        </is>
      </c>
      <c r="F65" s="2" t="inlineStr">
        <is>
          <t>kN</t>
        </is>
      </c>
      <c r="G65" s="2" t="inlineStr">
        <is>
          <t>FIGURE_DIGITIZED_APPROX</t>
        </is>
      </c>
      <c r="H65" s="2" t="inlineStr">
        <is>
          <t>Figure2 p6</t>
        </is>
      </c>
      <c r="I65" s="2" t="inlineStr">
        <is>
          <t>No batch assignment for 2%; no local fracture conversion</t>
        </is>
      </c>
    </row>
    <row r="66">
      <c r="A66" s="2" t="inlineStr">
        <is>
          <t>fig2a_bending_vf1</t>
        </is>
      </c>
      <c r="B66" s="2" t="n">
        <v>1</v>
      </c>
      <c r="C66" s="2" t="n">
        <v>2.4935231</v>
      </c>
      <c r="D66" s="2" t="n">
        <v>39.13714</v>
      </c>
      <c r="E66" s="2" t="inlineStr">
        <is>
          <t>mm</t>
        </is>
      </c>
      <c r="F66" s="2" t="inlineStr">
        <is>
          <t>kN</t>
        </is>
      </c>
      <c r="G66" s="2" t="inlineStr">
        <is>
          <t>FIGURE_DIGITIZED_APPROX</t>
        </is>
      </c>
      <c r="H66" s="2" t="inlineStr">
        <is>
          <t>Figure2 p6</t>
        </is>
      </c>
      <c r="I66" s="2" t="inlineStr">
        <is>
          <t>No batch assignment for 2%; no local fracture conversion</t>
        </is>
      </c>
    </row>
    <row r="67">
      <c r="A67" s="2" t="inlineStr">
        <is>
          <t>fig2a_bending_vf1</t>
        </is>
      </c>
      <c r="B67" s="2" t="n">
        <v>1</v>
      </c>
      <c r="C67" s="2" t="n">
        <v>2.5324844</v>
      </c>
      <c r="D67" s="2" t="n">
        <v>38.6746</v>
      </c>
      <c r="E67" s="2" t="inlineStr">
        <is>
          <t>mm</t>
        </is>
      </c>
      <c r="F67" s="2" t="inlineStr">
        <is>
          <t>kN</t>
        </is>
      </c>
      <c r="G67" s="2" t="inlineStr">
        <is>
          <t>FIGURE_DIGITIZED_APPROX</t>
        </is>
      </c>
      <c r="H67" s="2" t="inlineStr">
        <is>
          <t>Figure2 p6</t>
        </is>
      </c>
      <c r="I67" s="2" t="inlineStr">
        <is>
          <t>No batch assignment for 2%; no local fracture conversion</t>
        </is>
      </c>
    </row>
    <row r="68">
      <c r="A68" s="2" t="inlineStr">
        <is>
          <t>fig2a_bending_vf1</t>
        </is>
      </c>
      <c r="B68" s="2" t="n">
        <v>1</v>
      </c>
      <c r="C68" s="2" t="n">
        <v>2.5714457</v>
      </c>
      <c r="D68" s="2" t="n">
        <v>38.13677</v>
      </c>
      <c r="E68" s="2" t="inlineStr">
        <is>
          <t>mm</t>
        </is>
      </c>
      <c r="F68" s="2" t="inlineStr">
        <is>
          <t>kN</t>
        </is>
      </c>
      <c r="G68" s="2" t="inlineStr">
        <is>
          <t>FIGURE_DIGITIZED_APPROX</t>
        </is>
      </c>
      <c r="H68" s="2" t="inlineStr">
        <is>
          <t>Figure2 p6</t>
        </is>
      </c>
      <c r="I68" s="2" t="inlineStr">
        <is>
          <t>No batch assignment for 2%; no local fracture conversion</t>
        </is>
      </c>
    </row>
    <row r="69">
      <c r="A69" s="2" t="inlineStr">
        <is>
          <t>fig2a_bending_vf1</t>
        </is>
      </c>
      <c r="B69" s="2" t="n">
        <v>1</v>
      </c>
      <c r="C69" s="2" t="n">
        <v>2.610407</v>
      </c>
      <c r="D69" s="2" t="n">
        <v>37.60478</v>
      </c>
      <c r="E69" s="2" t="inlineStr">
        <is>
          <t>mm</t>
        </is>
      </c>
      <c r="F69" s="2" t="inlineStr">
        <is>
          <t>kN</t>
        </is>
      </c>
      <c r="G69" s="2" t="inlineStr">
        <is>
          <t>FIGURE_DIGITIZED_APPROX</t>
        </is>
      </c>
      <c r="H69" s="2" t="inlineStr">
        <is>
          <t>Figure2 p6</t>
        </is>
      </c>
      <c r="I69" s="2" t="inlineStr">
        <is>
          <t>No batch assignment for 2%; no local fracture conversion</t>
        </is>
      </c>
    </row>
    <row r="70">
      <c r="A70" s="2" t="inlineStr">
        <is>
          <t>fig2a_bending_vf1</t>
        </is>
      </c>
      <c r="B70" s="2" t="n">
        <v>1</v>
      </c>
      <c r="C70" s="2" t="n">
        <v>2.6493683</v>
      </c>
      <c r="D70" s="2" t="n">
        <v>37.19507</v>
      </c>
      <c r="E70" s="2" t="inlineStr">
        <is>
          <t>mm</t>
        </is>
      </c>
      <c r="F70" s="2" t="inlineStr">
        <is>
          <t>kN</t>
        </is>
      </c>
      <c r="G70" s="2" t="inlineStr">
        <is>
          <t>FIGURE_DIGITIZED_APPROX</t>
        </is>
      </c>
      <c r="H70" s="2" t="inlineStr">
        <is>
          <t>Figure2 p6</t>
        </is>
      </c>
      <c r="I70" s="2" t="inlineStr">
        <is>
          <t>No batch assignment for 2%; no local fracture conversion</t>
        </is>
      </c>
    </row>
    <row r="71">
      <c r="A71" s="2" t="inlineStr">
        <is>
          <t>fig2a_bending_vf1</t>
        </is>
      </c>
      <c r="B71" s="2" t="n">
        <v>1</v>
      </c>
      <c r="C71" s="2" t="n">
        <v>2.6883296</v>
      </c>
      <c r="D71" s="2" t="n">
        <v>36.98483</v>
      </c>
      <c r="E71" s="2" t="inlineStr">
        <is>
          <t>mm</t>
        </is>
      </c>
      <c r="F71" s="2" t="inlineStr">
        <is>
          <t>kN</t>
        </is>
      </c>
      <c r="G71" s="2" t="inlineStr">
        <is>
          <t>FIGURE_DIGITIZED_APPROX</t>
        </is>
      </c>
      <c r="H71" s="2" t="inlineStr">
        <is>
          <t>Figure2 p6</t>
        </is>
      </c>
      <c r="I71" s="2" t="inlineStr">
        <is>
          <t>No batch assignment for 2%; no local fracture conversion</t>
        </is>
      </c>
    </row>
    <row r="72">
      <c r="A72" s="2" t="inlineStr">
        <is>
          <t>fig2a_bending_vf2</t>
        </is>
      </c>
      <c r="B72" s="2" t="n">
        <v>2</v>
      </c>
      <c r="C72" s="2" t="n">
        <v>0</v>
      </c>
      <c r="D72" s="2" t="n">
        <v>0</v>
      </c>
      <c r="E72" s="2" t="inlineStr">
        <is>
          <t>mm</t>
        </is>
      </c>
      <c r="F72" s="2" t="inlineStr">
        <is>
          <t>kN</t>
        </is>
      </c>
      <c r="G72" s="2" t="inlineStr">
        <is>
          <t>FIGURE_DIGITIZED_APPROX</t>
        </is>
      </c>
      <c r="H72" s="2" t="inlineStr">
        <is>
          <t>Figure2 p6</t>
        </is>
      </c>
      <c r="I72" s="2" t="inlineStr">
        <is>
          <t>No batch assignment for 2%; no local fracture conversion</t>
        </is>
      </c>
    </row>
    <row r="73">
      <c r="A73" s="2" t="inlineStr">
        <is>
          <t>fig2a_bending_vf2</t>
        </is>
      </c>
      <c r="B73" s="2" t="n">
        <v>2</v>
      </c>
      <c r="C73" s="2" t="n">
        <v>0.0399316</v>
      </c>
      <c r="D73" s="2" t="n">
        <v>11.93006</v>
      </c>
      <c r="E73" s="2" t="inlineStr">
        <is>
          <t>mm</t>
        </is>
      </c>
      <c r="F73" s="2" t="inlineStr">
        <is>
          <t>kN</t>
        </is>
      </c>
      <c r="G73" s="2" t="inlineStr">
        <is>
          <t>FIGURE_DIGITIZED_APPROX</t>
        </is>
      </c>
      <c r="H73" s="2" t="inlineStr">
        <is>
          <t>Figure2 p6</t>
        </is>
      </c>
      <c r="I73" s="2" t="inlineStr">
        <is>
          <t>No batch assignment for 2%; no local fracture conversion</t>
        </is>
      </c>
    </row>
    <row r="74">
      <c r="A74" s="2" t="inlineStr">
        <is>
          <t>fig2a_bending_vf2</t>
        </is>
      </c>
      <c r="B74" s="2" t="n">
        <v>2</v>
      </c>
      <c r="C74" s="2" t="n">
        <v>0.07986310000000001</v>
      </c>
      <c r="D74" s="2" t="n">
        <v>44.36256</v>
      </c>
      <c r="E74" s="2" t="inlineStr">
        <is>
          <t>mm</t>
        </is>
      </c>
      <c r="F74" s="2" t="inlineStr">
        <is>
          <t>kN</t>
        </is>
      </c>
      <c r="G74" s="2" t="inlineStr">
        <is>
          <t>FIGURE_DIGITIZED_APPROX</t>
        </is>
      </c>
      <c r="H74" s="2" t="inlineStr">
        <is>
          <t>Figure2 p6</t>
        </is>
      </c>
      <c r="I74" s="2" t="inlineStr">
        <is>
          <t>No batch assignment for 2%; no local fracture conversion</t>
        </is>
      </c>
    </row>
    <row r="75">
      <c r="A75" s="2" t="inlineStr">
        <is>
          <t>fig2a_bending_vf2</t>
        </is>
      </c>
      <c r="B75" s="2" t="n">
        <v>2</v>
      </c>
      <c r="C75" s="2" t="n">
        <v>0.1197947</v>
      </c>
      <c r="D75" s="2" t="n">
        <v>57.54344</v>
      </c>
      <c r="E75" s="2" t="inlineStr">
        <is>
          <t>mm</t>
        </is>
      </c>
      <c r="F75" s="2" t="inlineStr">
        <is>
          <t>kN</t>
        </is>
      </c>
      <c r="G75" s="2" t="inlineStr">
        <is>
          <t>FIGURE_DIGITIZED_APPROX</t>
        </is>
      </c>
      <c r="H75" s="2" t="inlineStr">
        <is>
          <t>Figure2 p6</t>
        </is>
      </c>
      <c r="I75" s="2" t="inlineStr">
        <is>
          <t>No batch assignment for 2%; no local fracture conversion</t>
        </is>
      </c>
    </row>
    <row r="76">
      <c r="A76" s="2" t="inlineStr">
        <is>
          <t>fig2a_bending_vf2</t>
        </is>
      </c>
      <c r="B76" s="2" t="n">
        <v>2</v>
      </c>
      <c r="C76" s="2" t="n">
        <v>0.1597263</v>
      </c>
      <c r="D76" s="2" t="n">
        <v>63.88892</v>
      </c>
      <c r="E76" s="2" t="inlineStr">
        <is>
          <t>mm</t>
        </is>
      </c>
      <c r="F76" s="2" t="inlineStr">
        <is>
          <t>kN</t>
        </is>
      </c>
      <c r="G76" s="2" t="inlineStr">
        <is>
          <t>FIGURE_DIGITIZED_APPROX</t>
        </is>
      </c>
      <c r="H76" s="2" t="inlineStr">
        <is>
          <t>Figure2 p6</t>
        </is>
      </c>
      <c r="I76" s="2" t="inlineStr">
        <is>
          <t>No batch assignment for 2%; no local fracture conversion</t>
        </is>
      </c>
    </row>
    <row r="77">
      <c r="A77" s="2" t="inlineStr">
        <is>
          <t>fig2a_bending_vf2</t>
        </is>
      </c>
      <c r="B77" s="2" t="n">
        <v>2</v>
      </c>
      <c r="C77" s="2" t="n">
        <v>0.1996578</v>
      </c>
      <c r="D77" s="2" t="n">
        <v>69.09909</v>
      </c>
      <c r="E77" s="2" t="inlineStr">
        <is>
          <t>mm</t>
        </is>
      </c>
      <c r="F77" s="2" t="inlineStr">
        <is>
          <t>kN</t>
        </is>
      </c>
      <c r="G77" s="2" t="inlineStr">
        <is>
          <t>FIGURE_DIGITIZED_APPROX</t>
        </is>
      </c>
      <c r="H77" s="2" t="inlineStr">
        <is>
          <t>Figure2 p6</t>
        </is>
      </c>
      <c r="I77" s="2" t="inlineStr">
        <is>
          <t>No batch assignment for 2%; no local fracture conversion</t>
        </is>
      </c>
    </row>
    <row r="78">
      <c r="A78" s="2" t="inlineStr">
        <is>
          <t>fig2a_bending_vf2</t>
        </is>
      </c>
      <c r="B78" s="2" t="n">
        <v>2</v>
      </c>
      <c r="C78" s="2" t="n">
        <v>0.2395894</v>
      </c>
      <c r="D78" s="2" t="n">
        <v>73.77728</v>
      </c>
      <c r="E78" s="2" t="inlineStr">
        <is>
          <t>mm</t>
        </is>
      </c>
      <c r="F78" s="2" t="inlineStr">
        <is>
          <t>kN</t>
        </is>
      </c>
      <c r="G78" s="2" t="inlineStr">
        <is>
          <t>FIGURE_DIGITIZED_APPROX</t>
        </is>
      </c>
      <c r="H78" s="2" t="inlineStr">
        <is>
          <t>Figure2 p6</t>
        </is>
      </c>
      <c r="I78" s="2" t="inlineStr">
        <is>
          <t>No batch assignment for 2%; no local fracture conversion</t>
        </is>
      </c>
    </row>
    <row r="79">
      <c r="A79" s="2" t="inlineStr">
        <is>
          <t>fig2a_bending_vf2</t>
        </is>
      </c>
      <c r="B79" s="2" t="n">
        <v>2</v>
      </c>
      <c r="C79" s="2" t="n">
        <v>0.2795209</v>
      </c>
      <c r="D79" s="2" t="n">
        <v>77.71278</v>
      </c>
      <c r="E79" s="2" t="inlineStr">
        <is>
          <t>mm</t>
        </is>
      </c>
      <c r="F79" s="2" t="inlineStr">
        <is>
          <t>kN</t>
        </is>
      </c>
      <c r="G79" s="2" t="inlineStr">
        <is>
          <t>FIGURE_DIGITIZED_APPROX</t>
        </is>
      </c>
      <c r="H79" s="2" t="inlineStr">
        <is>
          <t>Figure2 p6</t>
        </is>
      </c>
      <c r="I79" s="2" t="inlineStr">
        <is>
          <t>No batch assignment for 2%; no local fracture conversion</t>
        </is>
      </c>
    </row>
    <row r="80">
      <c r="A80" s="2" t="inlineStr">
        <is>
          <t>fig2a_bending_vf2</t>
        </is>
      </c>
      <c r="B80" s="2" t="n">
        <v>2</v>
      </c>
      <c r="C80" s="2" t="n">
        <v>0.3194525</v>
      </c>
      <c r="D80" s="2" t="n">
        <v>80.88845000000001</v>
      </c>
      <c r="E80" s="2" t="inlineStr">
        <is>
          <t>mm</t>
        </is>
      </c>
      <c r="F80" s="2" t="inlineStr">
        <is>
          <t>kN</t>
        </is>
      </c>
      <c r="G80" s="2" t="inlineStr">
        <is>
          <t>FIGURE_DIGITIZED_APPROX</t>
        </is>
      </c>
      <c r="H80" s="2" t="inlineStr">
        <is>
          <t>Figure2 p6</t>
        </is>
      </c>
      <c r="I80" s="2" t="inlineStr">
        <is>
          <t>No batch assignment for 2%; no local fracture conversion</t>
        </is>
      </c>
    </row>
    <row r="81">
      <c r="A81" s="2" t="inlineStr">
        <is>
          <t>fig2a_bending_vf2</t>
        </is>
      </c>
      <c r="B81" s="2" t="n">
        <v>2</v>
      </c>
      <c r="C81" s="2" t="n">
        <v>0.3593841</v>
      </c>
      <c r="D81" s="2" t="n">
        <v>82.57334</v>
      </c>
      <c r="E81" s="2" t="inlineStr">
        <is>
          <t>mm</t>
        </is>
      </c>
      <c r="F81" s="2" t="inlineStr">
        <is>
          <t>kN</t>
        </is>
      </c>
      <c r="G81" s="2" t="inlineStr">
        <is>
          <t>FIGURE_DIGITIZED_APPROX</t>
        </is>
      </c>
      <c r="H81" s="2" t="inlineStr">
        <is>
          <t>Figure2 p6</t>
        </is>
      </c>
      <c r="I81" s="2" t="inlineStr">
        <is>
          <t>No batch assignment for 2%; no local fracture conversion</t>
        </is>
      </c>
    </row>
    <row r="82">
      <c r="A82" s="2" t="inlineStr">
        <is>
          <t>fig2a_bending_vf2</t>
        </is>
      </c>
      <c r="B82" s="2" t="n">
        <v>2</v>
      </c>
      <c r="C82" s="2" t="n">
        <v>0.3993156</v>
      </c>
      <c r="D82" s="2" t="n">
        <v>82.88824</v>
      </c>
      <c r="E82" s="2" t="inlineStr">
        <is>
          <t>mm</t>
        </is>
      </c>
      <c r="F82" s="2" t="inlineStr">
        <is>
          <t>kN</t>
        </is>
      </c>
      <c r="G82" s="2" t="inlineStr">
        <is>
          <t>FIGURE_DIGITIZED_APPROX</t>
        </is>
      </c>
      <c r="H82" s="2" t="inlineStr">
        <is>
          <t>Figure2 p6</t>
        </is>
      </c>
      <c r="I82" s="2" t="inlineStr">
        <is>
          <t>No batch assignment for 2%; no local fracture conversion</t>
        </is>
      </c>
    </row>
    <row r="83">
      <c r="A83" s="2" t="inlineStr">
        <is>
          <t>fig2a_bending_vf2</t>
        </is>
      </c>
      <c r="B83" s="2" t="n">
        <v>2</v>
      </c>
      <c r="C83" s="2" t="n">
        <v>0.4392472</v>
      </c>
      <c r="D83" s="2" t="n">
        <v>83.9062</v>
      </c>
      <c r="E83" s="2" t="inlineStr">
        <is>
          <t>mm</t>
        </is>
      </c>
      <c r="F83" s="2" t="inlineStr">
        <is>
          <t>kN</t>
        </is>
      </c>
      <c r="G83" s="2" t="inlineStr">
        <is>
          <t>FIGURE_DIGITIZED_APPROX</t>
        </is>
      </c>
      <c r="H83" s="2" t="inlineStr">
        <is>
          <t>Figure2 p6</t>
        </is>
      </c>
      <c r="I83" s="2" t="inlineStr">
        <is>
          <t>No batch assignment for 2%; no local fracture conversion</t>
        </is>
      </c>
    </row>
    <row r="84">
      <c r="A84" s="2" t="inlineStr">
        <is>
          <t>fig2a_bending_vf2</t>
        </is>
      </c>
      <c r="B84" s="2" t="n">
        <v>2</v>
      </c>
      <c r="C84" s="2" t="n">
        <v>0.4791788</v>
      </c>
      <c r="D84" s="2" t="n">
        <v>85.29773</v>
      </c>
      <c r="E84" s="2" t="inlineStr">
        <is>
          <t>mm</t>
        </is>
      </c>
      <c r="F84" s="2" t="inlineStr">
        <is>
          <t>kN</t>
        </is>
      </c>
      <c r="G84" s="2" t="inlineStr">
        <is>
          <t>FIGURE_DIGITIZED_APPROX</t>
        </is>
      </c>
      <c r="H84" s="2" t="inlineStr">
        <is>
          <t>Figure2 p6</t>
        </is>
      </c>
      <c r="I84" s="2" t="inlineStr">
        <is>
          <t>No batch assignment for 2%; no local fracture conversion</t>
        </is>
      </c>
    </row>
    <row r="85">
      <c r="A85" s="2" t="inlineStr">
        <is>
          <t>fig2a_bending_vf2</t>
        </is>
      </c>
      <c r="B85" s="2" t="n">
        <v>2</v>
      </c>
      <c r="C85" s="2" t="n">
        <v>0.5191103</v>
      </c>
      <c r="D85" s="2" t="n">
        <v>87.78351000000001</v>
      </c>
      <c r="E85" s="2" t="inlineStr">
        <is>
          <t>mm</t>
        </is>
      </c>
      <c r="F85" s="2" t="inlineStr">
        <is>
          <t>kN</t>
        </is>
      </c>
      <c r="G85" s="2" t="inlineStr">
        <is>
          <t>FIGURE_DIGITIZED_APPROX</t>
        </is>
      </c>
      <c r="H85" s="2" t="inlineStr">
        <is>
          <t>Figure2 p6</t>
        </is>
      </c>
      <c r="I85" s="2" t="inlineStr">
        <is>
          <t>No batch assignment for 2%; no local fracture conversion</t>
        </is>
      </c>
    </row>
    <row r="86">
      <c r="A86" s="2" t="inlineStr">
        <is>
          <t>fig2a_bending_vf2</t>
        </is>
      </c>
      <c r="B86" s="2" t="n">
        <v>2</v>
      </c>
      <c r="C86" s="2" t="n">
        <v>0.5590419</v>
      </c>
      <c r="D86" s="2" t="n">
        <v>89.98864</v>
      </c>
      <c r="E86" s="2" t="inlineStr">
        <is>
          <t>mm</t>
        </is>
      </c>
      <c r="F86" s="2" t="inlineStr">
        <is>
          <t>kN</t>
        </is>
      </c>
      <c r="G86" s="2" t="inlineStr">
        <is>
          <t>FIGURE_DIGITIZED_APPROX</t>
        </is>
      </c>
      <c r="H86" s="2" t="inlineStr">
        <is>
          <t>Figure2 p6</t>
        </is>
      </c>
      <c r="I86" s="2" t="inlineStr">
        <is>
          <t>No batch assignment for 2%; no local fracture conversion</t>
        </is>
      </c>
    </row>
    <row r="87">
      <c r="A87" s="2" t="inlineStr">
        <is>
          <t>fig2a_bending_vf2</t>
        </is>
      </c>
      <c r="B87" s="2" t="n">
        <v>2</v>
      </c>
      <c r="C87" s="2" t="n">
        <v>0.5989735</v>
      </c>
      <c r="D87" s="2" t="n">
        <v>90.92349</v>
      </c>
      <c r="E87" s="2" t="inlineStr">
        <is>
          <t>mm</t>
        </is>
      </c>
      <c r="F87" s="2" t="inlineStr">
        <is>
          <t>kN</t>
        </is>
      </c>
      <c r="G87" s="2" t="inlineStr">
        <is>
          <t>FIGURE_DIGITIZED_APPROX</t>
        </is>
      </c>
      <c r="H87" s="2" t="inlineStr">
        <is>
          <t>Figure2 p6</t>
        </is>
      </c>
      <c r="I87" s="2" t="inlineStr">
        <is>
          <t>No batch assignment for 2%; no local fracture conversion</t>
        </is>
      </c>
    </row>
    <row r="88">
      <c r="A88" s="2" t="inlineStr">
        <is>
          <t>fig2a_bending_vf2</t>
        </is>
      </c>
      <c r="B88" s="2" t="n">
        <v>2</v>
      </c>
      <c r="C88" s="2" t="n">
        <v>0.6389049999999999</v>
      </c>
      <c r="D88" s="2" t="n">
        <v>91.84173</v>
      </c>
      <c r="E88" s="2" t="inlineStr">
        <is>
          <t>mm</t>
        </is>
      </c>
      <c r="F88" s="2" t="inlineStr">
        <is>
          <t>kN</t>
        </is>
      </c>
      <c r="G88" s="2" t="inlineStr">
        <is>
          <t>FIGURE_DIGITIZED_APPROX</t>
        </is>
      </c>
      <c r="H88" s="2" t="inlineStr">
        <is>
          <t>Figure2 p6</t>
        </is>
      </c>
      <c r="I88" s="2" t="inlineStr">
        <is>
          <t>No batch assignment for 2%; no local fracture conversion</t>
        </is>
      </c>
    </row>
    <row r="89">
      <c r="A89" s="2" t="inlineStr">
        <is>
          <t>fig2a_bending_vf2</t>
        </is>
      </c>
      <c r="B89" s="2" t="n">
        <v>2</v>
      </c>
      <c r="C89" s="2" t="n">
        <v>0.6788366</v>
      </c>
      <c r="D89" s="2" t="n">
        <v>92.66607999999999</v>
      </c>
      <c r="E89" s="2" t="inlineStr">
        <is>
          <t>mm</t>
        </is>
      </c>
      <c r="F89" s="2" t="inlineStr">
        <is>
          <t>kN</t>
        </is>
      </c>
      <c r="G89" s="2" t="inlineStr">
        <is>
          <t>FIGURE_DIGITIZED_APPROX</t>
        </is>
      </c>
      <c r="H89" s="2" t="inlineStr">
        <is>
          <t>Figure2 p6</t>
        </is>
      </c>
      <c r="I89" s="2" t="inlineStr">
        <is>
          <t>No batch assignment for 2%; no local fracture conversion</t>
        </is>
      </c>
    </row>
    <row r="90">
      <c r="A90" s="2" t="inlineStr">
        <is>
          <t>fig2a_bending_vf2</t>
        </is>
      </c>
      <c r="B90" s="2" t="n">
        <v>2</v>
      </c>
      <c r="C90" s="2" t="n">
        <v>0.7187681</v>
      </c>
      <c r="D90" s="2" t="n">
        <v>93.97645</v>
      </c>
      <c r="E90" s="2" t="inlineStr">
        <is>
          <t>mm</t>
        </is>
      </c>
      <c r="F90" s="2" t="inlineStr">
        <is>
          <t>kN</t>
        </is>
      </c>
      <c r="G90" s="2" t="inlineStr">
        <is>
          <t>FIGURE_DIGITIZED_APPROX</t>
        </is>
      </c>
      <c r="H90" s="2" t="inlineStr">
        <is>
          <t>Figure2 p6</t>
        </is>
      </c>
      <c r="I90" s="2" t="inlineStr">
        <is>
          <t>No batch assignment for 2%; no local fracture conversion</t>
        </is>
      </c>
    </row>
    <row r="91">
      <c r="A91" s="2" t="inlineStr">
        <is>
          <t>fig2a_bending_vf2</t>
        </is>
      </c>
      <c r="B91" s="2" t="n">
        <v>2</v>
      </c>
      <c r="C91" s="2" t="n">
        <v>0.7586997</v>
      </c>
      <c r="D91" s="2" t="n">
        <v>95.77772</v>
      </c>
      <c r="E91" s="2" t="inlineStr">
        <is>
          <t>mm</t>
        </is>
      </c>
      <c r="F91" s="2" t="inlineStr">
        <is>
          <t>kN</t>
        </is>
      </c>
      <c r="G91" s="2" t="inlineStr">
        <is>
          <t>FIGURE_DIGITIZED_APPROX</t>
        </is>
      </c>
      <c r="H91" s="2" t="inlineStr">
        <is>
          <t>Figure2 p6</t>
        </is>
      </c>
      <c r="I91" s="2" t="inlineStr">
        <is>
          <t>No batch assignment for 2%; no local fracture conversion</t>
        </is>
      </c>
    </row>
    <row r="92">
      <c r="A92" s="2" t="inlineStr">
        <is>
          <t>fig2a_bending_vf2</t>
        </is>
      </c>
      <c r="B92" s="2" t="n">
        <v>2</v>
      </c>
      <c r="C92" s="2" t="n">
        <v>0.7986313</v>
      </c>
      <c r="D92" s="2" t="n">
        <v>97.09883000000001</v>
      </c>
      <c r="E92" s="2" t="inlineStr">
        <is>
          <t>mm</t>
        </is>
      </c>
      <c r="F92" s="2" t="inlineStr">
        <is>
          <t>kN</t>
        </is>
      </c>
      <c r="G92" s="2" t="inlineStr">
        <is>
          <t>FIGURE_DIGITIZED_APPROX</t>
        </is>
      </c>
      <c r="H92" s="2" t="inlineStr">
        <is>
          <t>Figure2 p6</t>
        </is>
      </c>
      <c r="I92" s="2" t="inlineStr">
        <is>
          <t>No batch assignment for 2%; no local fracture conversion</t>
        </is>
      </c>
    </row>
    <row r="93">
      <c r="A93" s="2" t="inlineStr">
        <is>
          <t>fig2a_bending_vf2</t>
        </is>
      </c>
      <c r="B93" s="2" t="n">
        <v>2</v>
      </c>
      <c r="C93" s="2" t="n">
        <v>0.8385628000000001</v>
      </c>
      <c r="D93" s="2" t="n">
        <v>98.38573</v>
      </c>
      <c r="E93" s="2" t="inlineStr">
        <is>
          <t>mm</t>
        </is>
      </c>
      <c r="F93" s="2" t="inlineStr">
        <is>
          <t>kN</t>
        </is>
      </c>
      <c r="G93" s="2" t="inlineStr">
        <is>
          <t>FIGURE_DIGITIZED_APPROX</t>
        </is>
      </c>
      <c r="H93" s="2" t="inlineStr">
        <is>
          <t>Figure2 p6</t>
        </is>
      </c>
      <c r="I93" s="2" t="inlineStr">
        <is>
          <t>No batch assignment for 2%; no local fracture conversion</t>
        </is>
      </c>
    </row>
    <row r="94">
      <c r="A94" s="2" t="inlineStr">
        <is>
          <t>fig2a_bending_vf2</t>
        </is>
      </c>
      <c r="B94" s="2" t="n">
        <v>2</v>
      </c>
      <c r="C94" s="2" t="n">
        <v>0.8784944</v>
      </c>
      <c r="D94" s="2" t="n">
        <v>99.01645000000001</v>
      </c>
      <c r="E94" s="2" t="inlineStr">
        <is>
          <t>mm</t>
        </is>
      </c>
      <c r="F94" s="2" t="inlineStr">
        <is>
          <t>kN</t>
        </is>
      </c>
      <c r="G94" s="2" t="inlineStr">
        <is>
          <t>FIGURE_DIGITIZED_APPROX</t>
        </is>
      </c>
      <c r="H94" s="2" t="inlineStr">
        <is>
          <t>Figure2 p6</t>
        </is>
      </c>
      <c r="I94" s="2" t="inlineStr">
        <is>
          <t>No batch assignment for 2%; no local fracture conversion</t>
        </is>
      </c>
    </row>
    <row r="95">
      <c r="A95" s="2" t="inlineStr">
        <is>
          <t>fig2a_bending_vf2</t>
        </is>
      </c>
      <c r="B95" s="2" t="n">
        <v>2</v>
      </c>
      <c r="C95" s="2" t="n">
        <v>0.918426</v>
      </c>
      <c r="D95" s="2" t="n">
        <v>98.67225000000001</v>
      </c>
      <c r="E95" s="2" t="inlineStr">
        <is>
          <t>mm</t>
        </is>
      </c>
      <c r="F95" s="2" t="inlineStr">
        <is>
          <t>kN</t>
        </is>
      </c>
      <c r="G95" s="2" t="inlineStr">
        <is>
          <t>FIGURE_DIGITIZED_APPROX</t>
        </is>
      </c>
      <c r="H95" s="2" t="inlineStr">
        <is>
          <t>Figure2 p6</t>
        </is>
      </c>
      <c r="I95" s="2" t="inlineStr">
        <is>
          <t>No batch assignment for 2%; no local fracture conversion</t>
        </is>
      </c>
    </row>
    <row r="96">
      <c r="A96" s="2" t="inlineStr">
        <is>
          <t>fig2a_bending_vf2</t>
        </is>
      </c>
      <c r="B96" s="2" t="n">
        <v>2</v>
      </c>
      <c r="C96" s="2" t="n">
        <v>0.9583575</v>
      </c>
      <c r="D96" s="2" t="n">
        <v>98.58423999999999</v>
      </c>
      <c r="E96" s="2" t="inlineStr">
        <is>
          <t>mm</t>
        </is>
      </c>
      <c r="F96" s="2" t="inlineStr">
        <is>
          <t>kN</t>
        </is>
      </c>
      <c r="G96" s="2" t="inlineStr">
        <is>
          <t>FIGURE_DIGITIZED_APPROX</t>
        </is>
      </c>
      <c r="H96" s="2" t="inlineStr">
        <is>
          <t>Figure2 p6</t>
        </is>
      </c>
      <c r="I96" s="2" t="inlineStr">
        <is>
          <t>No batch assignment for 2%; no local fracture conversion</t>
        </is>
      </c>
    </row>
    <row r="97">
      <c r="A97" s="2" t="inlineStr">
        <is>
          <t>fig2a_bending_vf2</t>
        </is>
      </c>
      <c r="B97" s="2" t="n">
        <v>2</v>
      </c>
      <c r="C97" s="2" t="n">
        <v>0.9982891</v>
      </c>
      <c r="D97" s="2" t="n">
        <v>99.11132000000001</v>
      </c>
      <c r="E97" s="2" t="inlineStr">
        <is>
          <t>mm</t>
        </is>
      </c>
      <c r="F97" s="2" t="inlineStr">
        <is>
          <t>kN</t>
        </is>
      </c>
      <c r="G97" s="2" t="inlineStr">
        <is>
          <t>FIGURE_DIGITIZED_APPROX</t>
        </is>
      </c>
      <c r="H97" s="2" t="inlineStr">
        <is>
          <t>Figure2 p6</t>
        </is>
      </c>
      <c r="I97" s="2" t="inlineStr">
        <is>
          <t>No batch assignment for 2%; no local fracture conversion</t>
        </is>
      </c>
    </row>
    <row r="98">
      <c r="A98" s="2" t="inlineStr">
        <is>
          <t>fig2a_bending_vf2</t>
        </is>
      </c>
      <c r="B98" s="2" t="n">
        <v>2</v>
      </c>
      <c r="C98" s="2" t="n">
        <v>1.0382207</v>
      </c>
      <c r="D98" s="2" t="n">
        <v>99.17487</v>
      </c>
      <c r="E98" s="2" t="inlineStr">
        <is>
          <t>mm</t>
        </is>
      </c>
      <c r="F98" s="2" t="inlineStr">
        <is>
          <t>kN</t>
        </is>
      </c>
      <c r="G98" s="2" t="inlineStr">
        <is>
          <t>FIGURE_DIGITIZED_APPROX</t>
        </is>
      </c>
      <c r="H98" s="2" t="inlineStr">
        <is>
          <t>Figure2 p6</t>
        </is>
      </c>
      <c r="I98" s="2" t="inlineStr">
        <is>
          <t>No batch assignment for 2%; no local fracture conversion</t>
        </is>
      </c>
    </row>
    <row r="99">
      <c r="A99" s="2" t="inlineStr">
        <is>
          <t>fig2a_bending_vf2</t>
        </is>
      </c>
      <c r="B99" s="2" t="n">
        <v>2</v>
      </c>
      <c r="C99" s="2" t="n">
        <v>1.0781522</v>
      </c>
      <c r="D99" s="2" t="n">
        <v>98.65464</v>
      </c>
      <c r="E99" s="2" t="inlineStr">
        <is>
          <t>mm</t>
        </is>
      </c>
      <c r="F99" s="2" t="inlineStr">
        <is>
          <t>kN</t>
        </is>
      </c>
      <c r="G99" s="2" t="inlineStr">
        <is>
          <t>FIGURE_DIGITIZED_APPROX</t>
        </is>
      </c>
      <c r="H99" s="2" t="inlineStr">
        <is>
          <t>Figure2 p6</t>
        </is>
      </c>
      <c r="I99" s="2" t="inlineStr">
        <is>
          <t>No batch assignment for 2%; no local fracture conversion</t>
        </is>
      </c>
    </row>
    <row r="100">
      <c r="A100" s="2" t="inlineStr">
        <is>
          <t>fig2a_bending_vf2</t>
        </is>
      </c>
      <c r="B100" s="2" t="n">
        <v>2</v>
      </c>
      <c r="C100" s="2" t="n">
        <v>1.1180838</v>
      </c>
      <c r="D100" s="2" t="n">
        <v>98.63119</v>
      </c>
      <c r="E100" s="2" t="inlineStr">
        <is>
          <t>mm</t>
        </is>
      </c>
      <c r="F100" s="2" t="inlineStr">
        <is>
          <t>kN</t>
        </is>
      </c>
      <c r="G100" s="2" t="inlineStr">
        <is>
          <t>FIGURE_DIGITIZED_APPROX</t>
        </is>
      </c>
      <c r="H100" s="2" t="inlineStr">
        <is>
          <t>Figure2 p6</t>
        </is>
      </c>
      <c r="I100" s="2" t="inlineStr">
        <is>
          <t>No batch assignment for 2%; no local fracture conversion</t>
        </is>
      </c>
    </row>
    <row r="101">
      <c r="A101" s="2" t="inlineStr">
        <is>
          <t>fig2a_bending_vf2</t>
        </is>
      </c>
      <c r="B101" s="2" t="n">
        <v>2</v>
      </c>
      <c r="C101" s="2" t="n">
        <v>1.1580153</v>
      </c>
      <c r="D101" s="2" t="n">
        <v>98.31533</v>
      </c>
      <c r="E101" s="2" t="inlineStr">
        <is>
          <t>mm</t>
        </is>
      </c>
      <c r="F101" s="2" t="inlineStr">
        <is>
          <t>kN</t>
        </is>
      </c>
      <c r="G101" s="2" t="inlineStr">
        <is>
          <t>FIGURE_DIGITIZED_APPROX</t>
        </is>
      </c>
      <c r="H101" s="2" t="inlineStr">
        <is>
          <t>Figure2 p6</t>
        </is>
      </c>
      <c r="I101" s="2" t="inlineStr">
        <is>
          <t>No batch assignment for 2%; no local fracture conversion</t>
        </is>
      </c>
    </row>
    <row r="102">
      <c r="A102" s="2" t="inlineStr">
        <is>
          <t>fig2a_bending_vf2</t>
        </is>
      </c>
      <c r="B102" s="2" t="n">
        <v>2</v>
      </c>
      <c r="C102" s="2" t="n">
        <v>1.1979469</v>
      </c>
      <c r="D102" s="2" t="n">
        <v>97.28658</v>
      </c>
      <c r="E102" s="2" t="inlineStr">
        <is>
          <t>mm</t>
        </is>
      </c>
      <c r="F102" s="2" t="inlineStr">
        <is>
          <t>kN</t>
        </is>
      </c>
      <c r="G102" s="2" t="inlineStr">
        <is>
          <t>FIGURE_DIGITIZED_APPROX</t>
        </is>
      </c>
      <c r="H102" s="2" t="inlineStr">
        <is>
          <t>Figure2 p6</t>
        </is>
      </c>
      <c r="I102" s="2" t="inlineStr">
        <is>
          <t>No batch assignment for 2%; no local fracture conversion</t>
        </is>
      </c>
    </row>
    <row r="103">
      <c r="A103" s="2" t="inlineStr">
        <is>
          <t>fig2a_bending_vf2</t>
        </is>
      </c>
      <c r="B103" s="2" t="n">
        <v>2</v>
      </c>
      <c r="C103" s="2" t="n">
        <v>1.2378785</v>
      </c>
      <c r="D103" s="2" t="n">
        <v>96.09259</v>
      </c>
      <c r="E103" s="2" t="inlineStr">
        <is>
          <t>mm</t>
        </is>
      </c>
      <c r="F103" s="2" t="inlineStr">
        <is>
          <t>kN</t>
        </is>
      </c>
      <c r="G103" s="2" t="inlineStr">
        <is>
          <t>FIGURE_DIGITIZED_APPROX</t>
        </is>
      </c>
      <c r="H103" s="2" t="inlineStr">
        <is>
          <t>Figure2 p6</t>
        </is>
      </c>
      <c r="I103" s="2" t="inlineStr">
        <is>
          <t>No batch assignment for 2%; no local fracture conversion</t>
        </is>
      </c>
    </row>
    <row r="104">
      <c r="A104" s="2" t="inlineStr">
        <is>
          <t>fig2a_bending_vf2</t>
        </is>
      </c>
      <c r="B104" s="2" t="n">
        <v>2</v>
      </c>
      <c r="C104" s="2" t="n">
        <v>1.27781</v>
      </c>
      <c r="D104" s="2" t="n">
        <v>95.20465</v>
      </c>
      <c r="E104" s="2" t="inlineStr">
        <is>
          <t>mm</t>
        </is>
      </c>
      <c r="F104" s="2" t="inlineStr">
        <is>
          <t>kN</t>
        </is>
      </c>
      <c r="G104" s="2" t="inlineStr">
        <is>
          <t>FIGURE_DIGITIZED_APPROX</t>
        </is>
      </c>
      <c r="H104" s="2" t="inlineStr">
        <is>
          <t>Figure2 p6</t>
        </is>
      </c>
      <c r="I104" s="2" t="inlineStr">
        <is>
          <t>No batch assignment for 2%; no local fracture conversion</t>
        </is>
      </c>
    </row>
    <row r="105">
      <c r="A105" s="2" t="inlineStr">
        <is>
          <t>fig2a_bending_vf2</t>
        </is>
      </c>
      <c r="B105" s="2" t="n">
        <v>2</v>
      </c>
      <c r="C105" s="2" t="n">
        <v>1.3177416</v>
      </c>
      <c r="D105" s="2" t="n">
        <v>93.96472</v>
      </c>
      <c r="E105" s="2" t="inlineStr">
        <is>
          <t>mm</t>
        </is>
      </c>
      <c r="F105" s="2" t="inlineStr">
        <is>
          <t>kN</t>
        </is>
      </c>
      <c r="G105" s="2" t="inlineStr">
        <is>
          <t>FIGURE_DIGITIZED_APPROX</t>
        </is>
      </c>
      <c r="H105" s="2" t="inlineStr">
        <is>
          <t>Figure2 p6</t>
        </is>
      </c>
      <c r="I105" s="2" t="inlineStr">
        <is>
          <t>No batch assignment for 2%; no local fracture conversion</t>
        </is>
      </c>
    </row>
    <row r="106">
      <c r="A106" s="2" t="inlineStr">
        <is>
          <t>fig2a_bending_vf2</t>
        </is>
      </c>
      <c r="B106" s="2" t="n">
        <v>2</v>
      </c>
      <c r="C106" s="2" t="n">
        <v>1.3576732</v>
      </c>
      <c r="D106" s="2" t="n">
        <v>92.22163999999999</v>
      </c>
      <c r="E106" s="2" t="inlineStr">
        <is>
          <t>mm</t>
        </is>
      </c>
      <c r="F106" s="2" t="inlineStr">
        <is>
          <t>kN</t>
        </is>
      </c>
      <c r="G106" s="2" t="inlineStr">
        <is>
          <t>FIGURE_DIGITIZED_APPROX</t>
        </is>
      </c>
      <c r="H106" s="2" t="inlineStr">
        <is>
          <t>Figure2 p6</t>
        </is>
      </c>
      <c r="I106" s="2" t="inlineStr">
        <is>
          <t>No batch assignment for 2%; no local fracture conversion</t>
        </is>
      </c>
    </row>
    <row r="107">
      <c r="A107" s="2" t="inlineStr">
        <is>
          <t>fig2a_bending_vf2</t>
        </is>
      </c>
      <c r="B107" s="2" t="n">
        <v>2</v>
      </c>
      <c r="C107" s="2" t="n">
        <v>1.3976047</v>
      </c>
      <c r="D107" s="2" t="n">
        <v>90.92349</v>
      </c>
      <c r="E107" s="2" t="inlineStr">
        <is>
          <t>mm</t>
        </is>
      </c>
      <c r="F107" s="2" t="inlineStr">
        <is>
          <t>kN</t>
        </is>
      </c>
      <c r="G107" s="2" t="inlineStr">
        <is>
          <t>FIGURE_DIGITIZED_APPROX</t>
        </is>
      </c>
      <c r="H107" s="2" t="inlineStr">
        <is>
          <t>Figure2 p6</t>
        </is>
      </c>
      <c r="I107" s="2" t="inlineStr">
        <is>
          <t>No batch assignment for 2%; no local fracture conversion</t>
        </is>
      </c>
    </row>
    <row r="108">
      <c r="A108" s="2" t="inlineStr">
        <is>
          <t>fig2a_bending_vf2</t>
        </is>
      </c>
      <c r="B108" s="2" t="n">
        <v>2</v>
      </c>
      <c r="C108" s="2" t="n">
        <v>1.4375363</v>
      </c>
      <c r="D108" s="2" t="n">
        <v>89.5789</v>
      </c>
      <c r="E108" s="2" t="inlineStr">
        <is>
          <t>mm</t>
        </is>
      </c>
      <c r="F108" s="2" t="inlineStr">
        <is>
          <t>kN</t>
        </is>
      </c>
      <c r="G108" s="2" t="inlineStr">
        <is>
          <t>FIGURE_DIGITIZED_APPROX</t>
        </is>
      </c>
      <c r="H108" s="2" t="inlineStr">
        <is>
          <t>Figure2 p6</t>
        </is>
      </c>
      <c r="I108" s="2" t="inlineStr">
        <is>
          <t>No batch assignment for 2%; no local fracture conversion</t>
        </is>
      </c>
    </row>
    <row r="109">
      <c r="A109" s="2" t="inlineStr">
        <is>
          <t>fig2a_bending_vf2</t>
        </is>
      </c>
      <c r="B109" s="2" t="n">
        <v>2</v>
      </c>
      <c r="C109" s="2" t="n">
        <v>1.4774679</v>
      </c>
      <c r="D109" s="2" t="n">
        <v>87.63683</v>
      </c>
      <c r="E109" s="2" t="inlineStr">
        <is>
          <t>mm</t>
        </is>
      </c>
      <c r="F109" s="2" t="inlineStr">
        <is>
          <t>kN</t>
        </is>
      </c>
      <c r="G109" s="2" t="inlineStr">
        <is>
          <t>FIGURE_DIGITIZED_APPROX</t>
        </is>
      </c>
      <c r="H109" s="2" t="inlineStr">
        <is>
          <t>Figure2 p6</t>
        </is>
      </c>
      <c r="I109" s="2" t="inlineStr">
        <is>
          <t>No batch assignment for 2%; no local fracture conversion</t>
        </is>
      </c>
    </row>
    <row r="110">
      <c r="A110" s="2" t="inlineStr">
        <is>
          <t>fig2a_bending_vf2</t>
        </is>
      </c>
      <c r="B110" s="2" t="n">
        <v>2</v>
      </c>
      <c r="C110" s="2" t="n">
        <v>1.5173994</v>
      </c>
      <c r="D110" s="2" t="n">
        <v>85.90599</v>
      </c>
      <c r="E110" s="2" t="inlineStr">
        <is>
          <t>mm</t>
        </is>
      </c>
      <c r="F110" s="2" t="inlineStr">
        <is>
          <t>kN</t>
        </is>
      </c>
      <c r="G110" s="2" t="inlineStr">
        <is>
          <t>FIGURE_DIGITIZED_APPROX</t>
        </is>
      </c>
      <c r="H110" s="2" t="inlineStr">
        <is>
          <t>Figure2 p6</t>
        </is>
      </c>
      <c r="I110" s="2" t="inlineStr">
        <is>
          <t>No batch assignment for 2%; no local fracture conversion</t>
        </is>
      </c>
    </row>
    <row r="111">
      <c r="A111" s="2" t="inlineStr">
        <is>
          <t>fig2a_bending_vf2</t>
        </is>
      </c>
      <c r="B111" s="2" t="n">
        <v>2</v>
      </c>
      <c r="C111" s="2" t="n">
        <v>1.557331</v>
      </c>
      <c r="D111" s="2" t="n">
        <v>84.6313</v>
      </c>
      <c r="E111" s="2" t="inlineStr">
        <is>
          <t>mm</t>
        </is>
      </c>
      <c r="F111" s="2" t="inlineStr">
        <is>
          <t>kN</t>
        </is>
      </c>
      <c r="G111" s="2" t="inlineStr">
        <is>
          <t>FIGURE_DIGITIZED_APPROX</t>
        </is>
      </c>
      <c r="H111" s="2" t="inlineStr">
        <is>
          <t>Figure2 p6</t>
        </is>
      </c>
      <c r="I111" s="2" t="inlineStr">
        <is>
          <t>No batch assignment for 2%; no local fracture conversion</t>
        </is>
      </c>
    </row>
    <row r="112">
      <c r="A112" s="2" t="inlineStr">
        <is>
          <t>fig2a_bending_vf2</t>
        </is>
      </c>
      <c r="B112" s="2" t="n">
        <v>2</v>
      </c>
      <c r="C112" s="2" t="n">
        <v>1.5972625</v>
      </c>
      <c r="D112" s="2" t="n">
        <v>83.14637999999999</v>
      </c>
      <c r="E112" s="2" t="inlineStr">
        <is>
          <t>mm</t>
        </is>
      </c>
      <c r="F112" s="2" t="inlineStr">
        <is>
          <t>kN</t>
        </is>
      </c>
      <c r="G112" s="2" t="inlineStr">
        <is>
          <t>FIGURE_DIGITIZED_APPROX</t>
        </is>
      </c>
      <c r="H112" s="2" t="inlineStr">
        <is>
          <t>Figure2 p6</t>
        </is>
      </c>
      <c r="I112" s="2" t="inlineStr">
        <is>
          <t>No batch assignment for 2%; no local fracture conversion</t>
        </is>
      </c>
    </row>
    <row r="113">
      <c r="A113" s="2" t="inlineStr">
        <is>
          <t>fig2a_bending_vf2</t>
        </is>
      </c>
      <c r="B113" s="2" t="n">
        <v>2</v>
      </c>
      <c r="C113" s="2" t="n">
        <v>1.6371941</v>
      </c>
      <c r="D113" s="2" t="n">
        <v>81.91817</v>
      </c>
      <c r="E113" s="2" t="inlineStr">
        <is>
          <t>mm</t>
        </is>
      </c>
      <c r="F113" s="2" t="inlineStr">
        <is>
          <t>kN</t>
        </is>
      </c>
      <c r="G113" s="2" t="inlineStr">
        <is>
          <t>FIGURE_DIGITIZED_APPROX</t>
        </is>
      </c>
      <c r="H113" s="2" t="inlineStr">
        <is>
          <t>Figure2 p6</t>
        </is>
      </c>
      <c r="I113" s="2" t="inlineStr">
        <is>
          <t>No batch assignment for 2%; no local fracture conversion</t>
        </is>
      </c>
    </row>
    <row r="114">
      <c r="A114" s="2" t="inlineStr">
        <is>
          <t>fig2a_bending_vf2</t>
        </is>
      </c>
      <c r="B114" s="2" t="n">
        <v>2</v>
      </c>
      <c r="C114" s="2" t="n">
        <v>1.6771257</v>
      </c>
      <c r="D114" s="2" t="n">
        <v>80.54911</v>
      </c>
      <c r="E114" s="2" t="inlineStr">
        <is>
          <t>mm</t>
        </is>
      </c>
      <c r="F114" s="2" t="inlineStr">
        <is>
          <t>kN</t>
        </is>
      </c>
      <c r="G114" s="2" t="inlineStr">
        <is>
          <t>FIGURE_DIGITIZED_APPROX</t>
        </is>
      </c>
      <c r="H114" s="2" t="inlineStr">
        <is>
          <t>Figure2 p6</t>
        </is>
      </c>
      <c r="I114" s="2" t="inlineStr">
        <is>
          <t>No batch assignment for 2%; no local fracture conversion</t>
        </is>
      </c>
    </row>
    <row r="115">
      <c r="A115" s="2" t="inlineStr">
        <is>
          <t>fig2a_bending_vf2</t>
        </is>
      </c>
      <c r="B115" s="2" t="n">
        <v>2</v>
      </c>
      <c r="C115" s="2" t="n">
        <v>1.7170572</v>
      </c>
      <c r="D115" s="2" t="n">
        <v>79.08718</v>
      </c>
      <c r="E115" s="2" t="inlineStr">
        <is>
          <t>mm</t>
        </is>
      </c>
      <c r="F115" s="2" t="inlineStr">
        <is>
          <t>kN</t>
        </is>
      </c>
      <c r="G115" s="2" t="inlineStr">
        <is>
          <t>FIGURE_DIGITIZED_APPROX</t>
        </is>
      </c>
      <c r="H115" s="2" t="inlineStr">
        <is>
          <t>Figure2 p6</t>
        </is>
      </c>
      <c r="I115" s="2" t="inlineStr">
        <is>
          <t>No batch assignment for 2%; no local fracture conversion</t>
        </is>
      </c>
    </row>
    <row r="116">
      <c r="A116" s="2" t="inlineStr">
        <is>
          <t>fig2a_bending_vf2</t>
        </is>
      </c>
      <c r="B116" s="2" t="n">
        <v>2</v>
      </c>
      <c r="C116" s="2" t="n">
        <v>1.7569888</v>
      </c>
      <c r="D116" s="2" t="n">
        <v>77.78954</v>
      </c>
      <c r="E116" s="2" t="inlineStr">
        <is>
          <t>mm</t>
        </is>
      </c>
      <c r="F116" s="2" t="inlineStr">
        <is>
          <t>kN</t>
        </is>
      </c>
      <c r="G116" s="2" t="inlineStr">
        <is>
          <t>FIGURE_DIGITIZED_APPROX</t>
        </is>
      </c>
      <c r="H116" s="2" t="inlineStr">
        <is>
          <t>Figure2 p6</t>
        </is>
      </c>
      <c r="I116" s="2" t="inlineStr">
        <is>
          <t>No batch assignment for 2%; no local fracture conversion</t>
        </is>
      </c>
    </row>
    <row r="117">
      <c r="A117" s="2" t="inlineStr">
        <is>
          <t>fig2a_bending_vf2</t>
        </is>
      </c>
      <c r="B117" s="2" t="n">
        <v>2</v>
      </c>
      <c r="C117" s="2" t="n">
        <v>1.7969204</v>
      </c>
      <c r="D117" s="2" t="n">
        <v>76.66643999999999</v>
      </c>
      <c r="E117" s="2" t="inlineStr">
        <is>
          <t>mm</t>
        </is>
      </c>
      <c r="F117" s="2" t="inlineStr">
        <is>
          <t>kN</t>
        </is>
      </c>
      <c r="G117" s="2" t="inlineStr">
        <is>
          <t>FIGURE_DIGITIZED_APPROX</t>
        </is>
      </c>
      <c r="H117" s="2" t="inlineStr">
        <is>
          <t>Figure2 p6</t>
        </is>
      </c>
      <c r="I117" s="2" t="inlineStr">
        <is>
          <t>No batch assignment for 2%; no local fracture conversion</t>
        </is>
      </c>
    </row>
    <row r="118">
      <c r="A118" s="2" t="inlineStr">
        <is>
          <t>fig2a_bending_vf2</t>
        </is>
      </c>
      <c r="B118" s="2" t="n">
        <v>2</v>
      </c>
      <c r="C118" s="2" t="n">
        <v>1.8368519</v>
      </c>
      <c r="D118" s="2" t="n">
        <v>75.40936000000001</v>
      </c>
      <c r="E118" s="2" t="inlineStr">
        <is>
          <t>mm</t>
        </is>
      </c>
      <c r="F118" s="2" t="inlineStr">
        <is>
          <t>kN</t>
        </is>
      </c>
      <c r="G118" s="2" t="inlineStr">
        <is>
          <t>FIGURE_DIGITIZED_APPROX</t>
        </is>
      </c>
      <c r="H118" s="2" t="inlineStr">
        <is>
          <t>Figure2 p6</t>
        </is>
      </c>
      <c r="I118" s="2" t="inlineStr">
        <is>
          <t>No batch assignment for 2%; no local fracture conversion</t>
        </is>
      </c>
    </row>
    <row r="119">
      <c r="A119" s="2" t="inlineStr">
        <is>
          <t>fig2a_bending_vf2</t>
        </is>
      </c>
      <c r="B119" s="2" t="n">
        <v>2</v>
      </c>
      <c r="C119" s="2" t="n">
        <v>1.8767835</v>
      </c>
      <c r="D119" s="2" t="n">
        <v>74.31511</v>
      </c>
      <c r="E119" s="2" t="inlineStr">
        <is>
          <t>mm</t>
        </is>
      </c>
      <c r="F119" s="2" t="inlineStr">
        <is>
          <t>kN</t>
        </is>
      </c>
      <c r="G119" s="2" t="inlineStr">
        <is>
          <t>FIGURE_DIGITIZED_APPROX</t>
        </is>
      </c>
      <c r="H119" s="2" t="inlineStr">
        <is>
          <t>Figure2 p6</t>
        </is>
      </c>
      <c r="I119" s="2" t="inlineStr">
        <is>
          <t>No batch assignment for 2%; no local fracture conversion</t>
        </is>
      </c>
    </row>
    <row r="120">
      <c r="A120" s="2" t="inlineStr">
        <is>
          <t>fig2a_bending_vf2</t>
        </is>
      </c>
      <c r="B120" s="2" t="n">
        <v>2</v>
      </c>
      <c r="C120" s="2" t="n">
        <v>1.9167151</v>
      </c>
      <c r="D120" s="2" t="n">
        <v>72.92359</v>
      </c>
      <c r="E120" s="2" t="inlineStr">
        <is>
          <t>mm</t>
        </is>
      </c>
      <c r="F120" s="2" t="inlineStr">
        <is>
          <t>kN</t>
        </is>
      </c>
      <c r="G120" s="2" t="inlineStr">
        <is>
          <t>FIGURE_DIGITIZED_APPROX</t>
        </is>
      </c>
      <c r="H120" s="2" t="inlineStr">
        <is>
          <t>Figure2 p6</t>
        </is>
      </c>
      <c r="I120" s="2" t="inlineStr">
        <is>
          <t>No batch assignment for 2%; no local fracture conversion</t>
        </is>
      </c>
    </row>
    <row r="121">
      <c r="A121" s="2" t="inlineStr">
        <is>
          <t>fig2a_bending_vf2</t>
        </is>
      </c>
      <c r="B121" s="2" t="n">
        <v>2</v>
      </c>
      <c r="C121" s="2" t="n">
        <v>1.9566466</v>
      </c>
      <c r="D121" s="2" t="n">
        <v>71.75404</v>
      </c>
      <c r="E121" s="2" t="inlineStr">
        <is>
          <t>mm</t>
        </is>
      </c>
      <c r="F121" s="2" t="inlineStr">
        <is>
          <t>kN</t>
        </is>
      </c>
      <c r="G121" s="2" t="inlineStr">
        <is>
          <t>FIGURE_DIGITIZED_APPROX</t>
        </is>
      </c>
      <c r="H121" s="2" t="inlineStr">
        <is>
          <t>Figure2 p6</t>
        </is>
      </c>
      <c r="I121" s="2" t="inlineStr">
        <is>
          <t>No batch assignment for 2%; no local fracture conversion</t>
        </is>
      </c>
    </row>
    <row r="122">
      <c r="A122" s="2" t="inlineStr">
        <is>
          <t>fig2a_bending_vf2</t>
        </is>
      </c>
      <c r="B122" s="2" t="n">
        <v>2</v>
      </c>
      <c r="C122" s="2" t="n">
        <v>1.9965782</v>
      </c>
      <c r="D122" s="2" t="n">
        <v>70.66664</v>
      </c>
      <c r="E122" s="2" t="inlineStr">
        <is>
          <t>mm</t>
        </is>
      </c>
      <c r="F122" s="2" t="inlineStr">
        <is>
          <t>kN</t>
        </is>
      </c>
      <c r="G122" s="2" t="inlineStr">
        <is>
          <t>FIGURE_DIGITIZED_APPROX</t>
        </is>
      </c>
      <c r="H122" s="2" t="inlineStr">
        <is>
          <t>Figure2 p6</t>
        </is>
      </c>
      <c r="I122" s="2" t="inlineStr">
        <is>
          <t>No batch assignment for 2%; no local fracture conversion</t>
        </is>
      </c>
    </row>
    <row r="123">
      <c r="A123" s="2" t="inlineStr">
        <is>
          <t>fig2a_bending_vf2</t>
        </is>
      </c>
      <c r="B123" s="2" t="n">
        <v>2</v>
      </c>
      <c r="C123" s="2" t="n">
        <v>2.0365097</v>
      </c>
      <c r="D123" s="2" t="n">
        <v>69.90586</v>
      </c>
      <c r="E123" s="2" t="inlineStr">
        <is>
          <t>mm</t>
        </is>
      </c>
      <c r="F123" s="2" t="inlineStr">
        <is>
          <t>kN</t>
        </is>
      </c>
      <c r="G123" s="2" t="inlineStr">
        <is>
          <t>FIGURE_DIGITIZED_APPROX</t>
        </is>
      </c>
      <c r="H123" s="2" t="inlineStr">
        <is>
          <t>Figure2 p6</t>
        </is>
      </c>
      <c r="I123" s="2" t="inlineStr">
        <is>
          <t>No batch assignment for 2%; no local fracture conversion</t>
        </is>
      </c>
    </row>
    <row r="124">
      <c r="A124" s="2" t="inlineStr">
        <is>
          <t>fig2a_bending_vf2</t>
        </is>
      </c>
      <c r="B124" s="2" t="n">
        <v>2</v>
      </c>
      <c r="C124" s="2" t="n">
        <v>2.0764413</v>
      </c>
      <c r="D124" s="2" t="n">
        <v>68.56028000000001</v>
      </c>
      <c r="E124" s="2" t="inlineStr">
        <is>
          <t>mm</t>
        </is>
      </c>
      <c r="F124" s="2" t="inlineStr">
        <is>
          <t>kN</t>
        </is>
      </c>
      <c r="G124" s="2" t="inlineStr">
        <is>
          <t>FIGURE_DIGITIZED_APPROX</t>
        </is>
      </c>
      <c r="H124" s="2" t="inlineStr">
        <is>
          <t>Figure2 p6</t>
        </is>
      </c>
      <c r="I124" s="2" t="inlineStr">
        <is>
          <t>No batch assignment for 2%; no local fracture conversion</t>
        </is>
      </c>
    </row>
    <row r="125">
      <c r="A125" s="2" t="inlineStr">
        <is>
          <t>fig2a_bending_vf2</t>
        </is>
      </c>
      <c r="B125" s="2" t="n">
        <v>2</v>
      </c>
      <c r="C125" s="2" t="n">
        <v>2.1163729</v>
      </c>
      <c r="D125" s="2" t="n">
        <v>67.50806</v>
      </c>
      <c r="E125" s="2" t="inlineStr">
        <is>
          <t>mm</t>
        </is>
      </c>
      <c r="F125" s="2" t="inlineStr">
        <is>
          <t>kN</t>
        </is>
      </c>
      <c r="G125" s="2" t="inlineStr">
        <is>
          <t>FIGURE_DIGITIZED_APPROX</t>
        </is>
      </c>
      <c r="H125" s="2" t="inlineStr">
        <is>
          <t>Figure2 p6</t>
        </is>
      </c>
      <c r="I125" s="2" t="inlineStr">
        <is>
          <t>No batch assignment for 2%; no local fracture conversion</t>
        </is>
      </c>
    </row>
    <row r="126">
      <c r="A126" s="2" t="inlineStr">
        <is>
          <t>fig2a_bending_vf2</t>
        </is>
      </c>
      <c r="B126" s="2" t="n">
        <v>2</v>
      </c>
      <c r="C126" s="2" t="n">
        <v>2.1563044</v>
      </c>
      <c r="D126" s="2" t="n">
        <v>66.35026000000001</v>
      </c>
      <c r="E126" s="2" t="inlineStr">
        <is>
          <t>mm</t>
        </is>
      </c>
      <c r="F126" s="2" t="inlineStr">
        <is>
          <t>kN</t>
        </is>
      </c>
      <c r="G126" s="2" t="inlineStr">
        <is>
          <t>FIGURE_DIGITIZED_APPROX</t>
        </is>
      </c>
      <c r="H126" s="2" t="inlineStr">
        <is>
          <t>Figure2 p6</t>
        </is>
      </c>
      <c r="I126" s="2" t="inlineStr">
        <is>
          <t>No batch assignment for 2%; no local fracture conversion</t>
        </is>
      </c>
    </row>
    <row r="127">
      <c r="A127" s="2" t="inlineStr">
        <is>
          <t>fig2a_bending_vf2</t>
        </is>
      </c>
      <c r="B127" s="2" t="n">
        <v>2</v>
      </c>
      <c r="C127" s="2" t="n">
        <v>2.196236</v>
      </c>
      <c r="D127" s="2" t="n">
        <v>65.61391999999999</v>
      </c>
      <c r="E127" s="2" t="inlineStr">
        <is>
          <t>mm</t>
        </is>
      </c>
      <c r="F127" s="2" t="inlineStr">
        <is>
          <t>kN</t>
        </is>
      </c>
      <c r="G127" s="2" t="inlineStr">
        <is>
          <t>FIGURE_DIGITIZED_APPROX</t>
        </is>
      </c>
      <c r="H127" s="2" t="inlineStr">
        <is>
          <t>Figure2 p6</t>
        </is>
      </c>
      <c r="I127" s="2" t="inlineStr">
        <is>
          <t>No batch assignment for 2%; no local fracture conversion</t>
        </is>
      </c>
    </row>
    <row r="128">
      <c r="A128" s="2" t="inlineStr">
        <is>
          <t>fig2a_bending_vf2</t>
        </is>
      </c>
      <c r="B128" s="2" t="n">
        <v>2</v>
      </c>
      <c r="C128" s="2" t="n">
        <v>2.2361676</v>
      </c>
      <c r="D128" s="2" t="n">
        <v>64.54898</v>
      </c>
      <c r="E128" s="2" t="inlineStr">
        <is>
          <t>mm</t>
        </is>
      </c>
      <c r="F128" s="2" t="inlineStr">
        <is>
          <t>kN</t>
        </is>
      </c>
      <c r="G128" s="2" t="inlineStr">
        <is>
          <t>FIGURE_DIGITIZED_APPROX</t>
        </is>
      </c>
      <c r="H128" s="2" t="inlineStr">
        <is>
          <t>Figure2 p6</t>
        </is>
      </c>
      <c r="I128" s="2" t="inlineStr">
        <is>
          <t>No batch assignment for 2%; no local fracture conversion</t>
        </is>
      </c>
    </row>
    <row r="129">
      <c r="A129" s="2" t="inlineStr">
        <is>
          <t>fig2a_bending_vf2</t>
        </is>
      </c>
      <c r="B129" s="2" t="n">
        <v>2</v>
      </c>
      <c r="C129" s="2" t="n">
        <v>2.2760991</v>
      </c>
      <c r="D129" s="2" t="n">
        <v>63.26308</v>
      </c>
      <c r="E129" s="2" t="inlineStr">
        <is>
          <t>mm</t>
        </is>
      </c>
      <c r="F129" s="2" t="inlineStr">
        <is>
          <t>kN</t>
        </is>
      </c>
      <c r="G129" s="2" t="inlineStr">
        <is>
          <t>FIGURE_DIGITIZED_APPROX</t>
        </is>
      </c>
      <c r="H129" s="2" t="inlineStr">
        <is>
          <t>Figure2 p6</t>
        </is>
      </c>
      <c r="I129" s="2" t="inlineStr">
        <is>
          <t>No batch assignment for 2%; no local fracture conversion</t>
        </is>
      </c>
    </row>
    <row r="130">
      <c r="A130" s="2" t="inlineStr">
        <is>
          <t>fig2a_bending_vf2</t>
        </is>
      </c>
      <c r="B130" s="2" t="n">
        <v>2</v>
      </c>
      <c r="C130" s="2" t="n">
        <v>2.3160307</v>
      </c>
      <c r="D130" s="2" t="n">
        <v>62.38593</v>
      </c>
      <c r="E130" s="2" t="inlineStr">
        <is>
          <t>mm</t>
        </is>
      </c>
      <c r="F130" s="2" t="inlineStr">
        <is>
          <t>kN</t>
        </is>
      </c>
      <c r="G130" s="2" t="inlineStr">
        <is>
          <t>FIGURE_DIGITIZED_APPROX</t>
        </is>
      </c>
      <c r="H130" s="2" t="inlineStr">
        <is>
          <t>Figure2 p6</t>
        </is>
      </c>
      <c r="I130" s="2" t="inlineStr">
        <is>
          <t>No batch assignment for 2%; no local fracture conversion</t>
        </is>
      </c>
    </row>
    <row r="131">
      <c r="A131" s="2" t="inlineStr">
        <is>
          <t>fig2a_bending_vf2</t>
        </is>
      </c>
      <c r="B131" s="2" t="n">
        <v>2</v>
      </c>
      <c r="C131" s="2" t="n">
        <v>2.3559623</v>
      </c>
      <c r="D131" s="2" t="n">
        <v>61.36845</v>
      </c>
      <c r="E131" s="2" t="inlineStr">
        <is>
          <t>mm</t>
        </is>
      </c>
      <c r="F131" s="2" t="inlineStr">
        <is>
          <t>kN</t>
        </is>
      </c>
      <c r="G131" s="2" t="inlineStr">
        <is>
          <t>FIGURE_DIGITIZED_APPROX</t>
        </is>
      </c>
      <c r="H131" s="2" t="inlineStr">
        <is>
          <t>Figure2 p6</t>
        </is>
      </c>
      <c r="I131" s="2" t="inlineStr">
        <is>
          <t>No batch assignment for 2%; no local fracture conversion</t>
        </is>
      </c>
    </row>
    <row r="132">
      <c r="A132" s="2" t="inlineStr">
        <is>
          <t>fig2a_bending_vf2</t>
        </is>
      </c>
      <c r="B132" s="2" t="n">
        <v>2</v>
      </c>
      <c r="C132" s="2" t="n">
        <v>2.3958938</v>
      </c>
      <c r="D132" s="2" t="n">
        <v>60.02335</v>
      </c>
      <c r="E132" s="2" t="inlineStr">
        <is>
          <t>mm</t>
        </is>
      </c>
      <c r="F132" s="2" t="inlineStr">
        <is>
          <t>kN</t>
        </is>
      </c>
      <c r="G132" s="2" t="inlineStr">
        <is>
          <t>FIGURE_DIGITIZED_APPROX</t>
        </is>
      </c>
      <c r="H132" s="2" t="inlineStr">
        <is>
          <t>Figure2 p6</t>
        </is>
      </c>
      <c r="I132" s="2" t="inlineStr">
        <is>
          <t>No batch assignment for 2%; no local fracture conversion</t>
        </is>
      </c>
    </row>
    <row r="133">
      <c r="A133" s="2" t="inlineStr">
        <is>
          <t>fig2a_bending_vf2</t>
        </is>
      </c>
      <c r="B133" s="2" t="n">
        <v>2</v>
      </c>
      <c r="C133" s="2" t="n">
        <v>2.4358254</v>
      </c>
      <c r="D133" s="2" t="n">
        <v>58.93499</v>
      </c>
      <c r="E133" s="2" t="inlineStr">
        <is>
          <t>mm</t>
        </is>
      </c>
      <c r="F133" s="2" t="inlineStr">
        <is>
          <t>kN</t>
        </is>
      </c>
      <c r="G133" s="2" t="inlineStr">
        <is>
          <t>FIGURE_DIGITIZED_APPROX</t>
        </is>
      </c>
      <c r="H133" s="2" t="inlineStr">
        <is>
          <t>Figure2 p6</t>
        </is>
      </c>
      <c r="I133" s="2" t="inlineStr">
        <is>
          <t>No batch assignment for 2%; no local fracture conversion</t>
        </is>
      </c>
    </row>
    <row r="134">
      <c r="A134" s="2" t="inlineStr">
        <is>
          <t>fig2a_bending_vf2</t>
        </is>
      </c>
      <c r="B134" s="2" t="n">
        <v>2</v>
      </c>
      <c r="C134" s="2" t="n">
        <v>2.4757569</v>
      </c>
      <c r="D134" s="2" t="n">
        <v>58.01088</v>
      </c>
      <c r="E134" s="2" t="inlineStr">
        <is>
          <t>mm</t>
        </is>
      </c>
      <c r="F134" s="2" t="inlineStr">
        <is>
          <t>kN</t>
        </is>
      </c>
      <c r="G134" s="2" t="inlineStr">
        <is>
          <t>FIGURE_DIGITIZED_APPROX</t>
        </is>
      </c>
      <c r="H134" s="2" t="inlineStr">
        <is>
          <t>Figure2 p6</t>
        </is>
      </c>
      <c r="I134" s="2" t="inlineStr">
        <is>
          <t>No batch assignment for 2%; no local fracture conversion</t>
        </is>
      </c>
    </row>
    <row r="135">
      <c r="A135" s="2" t="inlineStr">
        <is>
          <t>fig2a_bending_vf2</t>
        </is>
      </c>
      <c r="B135" s="2" t="n">
        <v>2</v>
      </c>
      <c r="C135" s="2" t="n">
        <v>2.5156885</v>
      </c>
      <c r="D135" s="2" t="n">
        <v>56.88826</v>
      </c>
      <c r="E135" s="2" t="inlineStr">
        <is>
          <t>mm</t>
        </is>
      </c>
      <c r="F135" s="2" t="inlineStr">
        <is>
          <t>kN</t>
        </is>
      </c>
      <c r="G135" s="2" t="inlineStr">
        <is>
          <t>FIGURE_DIGITIZED_APPROX</t>
        </is>
      </c>
      <c r="H135" s="2" t="inlineStr">
        <is>
          <t>Figure2 p6</t>
        </is>
      </c>
      <c r="I135" s="2" t="inlineStr">
        <is>
          <t>No batch assignment for 2%; no local fracture conversion</t>
        </is>
      </c>
    </row>
    <row r="136">
      <c r="A136" s="2" t="inlineStr">
        <is>
          <t>fig2a_bending_vf2</t>
        </is>
      </c>
      <c r="B136" s="2" t="n">
        <v>2</v>
      </c>
      <c r="C136" s="2" t="n">
        <v>2.5556201</v>
      </c>
      <c r="D136" s="2" t="n">
        <v>55.83607</v>
      </c>
      <c r="E136" s="2" t="inlineStr">
        <is>
          <t>mm</t>
        </is>
      </c>
      <c r="F136" s="2" t="inlineStr">
        <is>
          <t>kN</t>
        </is>
      </c>
      <c r="G136" s="2" t="inlineStr">
        <is>
          <t>FIGURE_DIGITIZED_APPROX</t>
        </is>
      </c>
      <c r="H136" s="2" t="inlineStr">
        <is>
          <t>Figure2 p6</t>
        </is>
      </c>
      <c r="I136" s="2" t="inlineStr">
        <is>
          <t>No batch assignment for 2%; no local fracture conversion</t>
        </is>
      </c>
    </row>
    <row r="137">
      <c r="A137" s="2" t="inlineStr">
        <is>
          <t>fig2a_bending_vf2</t>
        </is>
      </c>
      <c r="B137" s="2" t="n">
        <v>2</v>
      </c>
      <c r="C137" s="2" t="n">
        <v>2.5955516</v>
      </c>
      <c r="D137" s="2" t="n">
        <v>54.90023</v>
      </c>
      <c r="E137" s="2" t="inlineStr">
        <is>
          <t>mm</t>
        </is>
      </c>
      <c r="F137" s="2" t="inlineStr">
        <is>
          <t>kN</t>
        </is>
      </c>
      <c r="G137" s="2" t="inlineStr">
        <is>
          <t>FIGURE_DIGITIZED_APPROX</t>
        </is>
      </c>
      <c r="H137" s="2" t="inlineStr">
        <is>
          <t>Figure2 p6</t>
        </is>
      </c>
      <c r="I137" s="2" t="inlineStr">
        <is>
          <t>No batch assignment for 2%; no local fracture conversion</t>
        </is>
      </c>
    </row>
    <row r="138">
      <c r="A138" s="2" t="inlineStr">
        <is>
          <t>fig2a_bending_vf2</t>
        </is>
      </c>
      <c r="B138" s="2" t="n">
        <v>2</v>
      </c>
      <c r="C138" s="2" t="n">
        <v>2.6354832</v>
      </c>
      <c r="D138" s="2" t="n">
        <v>54.09348</v>
      </c>
      <c r="E138" s="2" t="inlineStr">
        <is>
          <t>mm</t>
        </is>
      </c>
      <c r="F138" s="2" t="inlineStr">
        <is>
          <t>kN</t>
        </is>
      </c>
      <c r="G138" s="2" t="inlineStr">
        <is>
          <t>FIGURE_DIGITIZED_APPROX</t>
        </is>
      </c>
      <c r="H138" s="2" t="inlineStr">
        <is>
          <t>Figure2 p6</t>
        </is>
      </c>
      <c r="I138" s="2" t="inlineStr">
        <is>
          <t>No batch assignment for 2%; no local fracture conversion</t>
        </is>
      </c>
    </row>
    <row r="139">
      <c r="A139" s="2" t="inlineStr">
        <is>
          <t>fig2a_bending_vf2</t>
        </is>
      </c>
      <c r="B139" s="2" t="n">
        <v>2</v>
      </c>
      <c r="C139" s="2" t="n">
        <v>2.6754148</v>
      </c>
      <c r="D139" s="2" t="n">
        <v>53.1635</v>
      </c>
      <c r="E139" s="2" t="inlineStr">
        <is>
          <t>mm</t>
        </is>
      </c>
      <c r="F139" s="2" t="inlineStr">
        <is>
          <t>kN</t>
        </is>
      </c>
      <c r="G139" s="2" t="inlineStr">
        <is>
          <t>FIGURE_DIGITIZED_APPROX</t>
        </is>
      </c>
      <c r="H139" s="2" t="inlineStr">
        <is>
          <t>Figure2 p6</t>
        </is>
      </c>
      <c r="I139" s="2" t="inlineStr">
        <is>
          <t>No batch assignment for 2%; no local fracture conversion</t>
        </is>
      </c>
    </row>
    <row r="140">
      <c r="A140" s="2" t="inlineStr">
        <is>
          <t>fig2a_bending_vf2</t>
        </is>
      </c>
      <c r="B140" s="2" t="n">
        <v>2</v>
      </c>
      <c r="C140" s="2" t="n">
        <v>2.7153463</v>
      </c>
      <c r="D140" s="2" t="n">
        <v>52.26874</v>
      </c>
      <c r="E140" s="2" t="inlineStr">
        <is>
          <t>mm</t>
        </is>
      </c>
      <c r="F140" s="2" t="inlineStr">
        <is>
          <t>kN</t>
        </is>
      </c>
      <c r="G140" s="2" t="inlineStr">
        <is>
          <t>FIGURE_DIGITIZED_APPROX</t>
        </is>
      </c>
      <c r="H140" s="2" t="inlineStr">
        <is>
          <t>Figure2 p6</t>
        </is>
      </c>
      <c r="I140" s="2" t="inlineStr">
        <is>
          <t>No batch assignment for 2%; no local fracture conversion</t>
        </is>
      </c>
    </row>
    <row r="141">
      <c r="A141" s="2" t="inlineStr">
        <is>
          <t>fig2a_bending_vf2</t>
        </is>
      </c>
      <c r="B141" s="2" t="n">
        <v>2</v>
      </c>
      <c r="C141" s="2" t="n">
        <v>2.7552779</v>
      </c>
      <c r="D141" s="2" t="n">
        <v>51.78371</v>
      </c>
      <c r="E141" s="2" t="inlineStr">
        <is>
          <t>mm</t>
        </is>
      </c>
      <c r="F141" s="2" t="inlineStr">
        <is>
          <t>kN</t>
        </is>
      </c>
      <c r="G141" s="2" t="inlineStr">
        <is>
          <t>FIGURE_DIGITIZED_APPROX</t>
        </is>
      </c>
      <c r="H141" s="2" t="inlineStr">
        <is>
          <t>Figure2 p6</t>
        </is>
      </c>
      <c r="I141" s="2" t="inlineStr">
        <is>
          <t>No batch assignment for 2%; no local fracture conversion</t>
        </is>
      </c>
    </row>
    <row r="142">
      <c r="A142" s="2" t="inlineStr">
        <is>
          <t>fig2b_tension_vf1</t>
        </is>
      </c>
      <c r="B142" s="2" t="n">
        <v>1</v>
      </c>
      <c r="C142" s="2" t="n">
        <v>0</v>
      </c>
      <c r="D142" s="2" t="n">
        <v>0</v>
      </c>
      <c r="E142" s="2" t="inlineStr">
        <is>
          <t>mm/mm</t>
        </is>
      </c>
      <c r="F142" s="2" t="inlineStr">
        <is>
          <t>MPa</t>
        </is>
      </c>
      <c r="G142" s="2" t="inlineStr">
        <is>
          <t>FIGURE_DIGITIZED_APPROX</t>
        </is>
      </c>
      <c r="H142" s="2" t="inlineStr">
        <is>
          <t>Figure2 p6</t>
        </is>
      </c>
      <c r="I142" s="2" t="inlineStr">
        <is>
          <t>No batch assignment for 2%; no local fracture conversion</t>
        </is>
      </c>
    </row>
    <row r="143">
      <c r="A143" s="2" t="inlineStr">
        <is>
          <t>fig2b_tension_vf1</t>
        </is>
      </c>
      <c r="B143" s="2" t="n">
        <v>1</v>
      </c>
      <c r="C143" s="2" t="n">
        <v>9.15e-05</v>
      </c>
      <c r="D143" s="2" t="n">
        <v>4.01339</v>
      </c>
      <c r="E143" s="2" t="inlineStr">
        <is>
          <t>mm/mm</t>
        </is>
      </c>
      <c r="F143" s="2" t="inlineStr">
        <is>
          <t>MPa</t>
        </is>
      </c>
      <c r="G143" s="2" t="inlineStr">
        <is>
          <t>FIGURE_DIGITIZED_APPROX</t>
        </is>
      </c>
      <c r="H143" s="2" t="inlineStr">
        <is>
          <t>Figure2 p6</t>
        </is>
      </c>
      <c r="I143" s="2" t="inlineStr">
        <is>
          <t>No batch assignment for 2%; no local fracture conversion</t>
        </is>
      </c>
    </row>
    <row r="144">
      <c r="A144" s="2" t="inlineStr">
        <is>
          <t>fig2b_tension_vf1</t>
        </is>
      </c>
      <c r="B144" s="2" t="n">
        <v>1</v>
      </c>
      <c r="C144" s="2" t="n">
        <v>0.000183</v>
      </c>
      <c r="D144" s="2" t="n">
        <v>5.06725</v>
      </c>
      <c r="E144" s="2" t="inlineStr">
        <is>
          <t>mm/mm</t>
        </is>
      </c>
      <c r="F144" s="2" t="inlineStr">
        <is>
          <t>MPa</t>
        </is>
      </c>
      <c r="G144" s="2" t="inlineStr">
        <is>
          <t>FIGURE_DIGITIZED_APPROX</t>
        </is>
      </c>
      <c r="H144" s="2" t="inlineStr">
        <is>
          <t>Figure2 p6</t>
        </is>
      </c>
      <c r="I144" s="2" t="inlineStr">
        <is>
          <t>No batch assignment for 2%; no local fracture conversion</t>
        </is>
      </c>
    </row>
    <row r="145">
      <c r="A145" s="2" t="inlineStr">
        <is>
          <t>fig2b_tension_vf1</t>
        </is>
      </c>
      <c r="B145" s="2" t="n">
        <v>1</v>
      </c>
      <c r="C145" s="2" t="n">
        <v>0.0002745</v>
      </c>
      <c r="D145" s="2" t="n">
        <v>5.96436</v>
      </c>
      <c r="E145" s="2" t="inlineStr">
        <is>
          <t>mm/mm</t>
        </is>
      </c>
      <c r="F145" s="2" t="inlineStr">
        <is>
          <t>MPa</t>
        </is>
      </c>
      <c r="G145" s="2" t="inlineStr">
        <is>
          <t>FIGURE_DIGITIZED_APPROX</t>
        </is>
      </c>
      <c r="H145" s="2" t="inlineStr">
        <is>
          <t>Figure2 p6</t>
        </is>
      </c>
      <c r="I145" s="2" t="inlineStr">
        <is>
          <t>No batch assignment for 2%; no local fracture conversion</t>
        </is>
      </c>
    </row>
    <row r="146">
      <c r="A146" s="2" t="inlineStr">
        <is>
          <t>fig2b_tension_vf1</t>
        </is>
      </c>
      <c r="B146" s="2" t="n">
        <v>1</v>
      </c>
      <c r="C146" s="2" t="n">
        <v>0.0003661</v>
      </c>
      <c r="D146" s="2" t="n">
        <v>6.36892</v>
      </c>
      <c r="E146" s="2" t="inlineStr">
        <is>
          <t>mm/mm</t>
        </is>
      </c>
      <c r="F146" s="2" t="inlineStr">
        <is>
          <t>MPa</t>
        </is>
      </c>
      <c r="G146" s="2" t="inlineStr">
        <is>
          <t>FIGURE_DIGITIZED_APPROX</t>
        </is>
      </c>
      <c r="H146" s="2" t="inlineStr">
        <is>
          <t>Figure2 p6</t>
        </is>
      </c>
      <c r="I146" s="2" t="inlineStr">
        <is>
          <t>No batch assignment for 2%; no local fracture conversion</t>
        </is>
      </c>
    </row>
    <row r="147">
      <c r="A147" s="2" t="inlineStr">
        <is>
          <t>fig2b_tension_vf1</t>
        </is>
      </c>
      <c r="B147" s="2" t="n">
        <v>1</v>
      </c>
      <c r="C147" s="2" t="n">
        <v>0.0004576</v>
      </c>
      <c r="D147" s="2" t="n">
        <v>6.62502</v>
      </c>
      <c r="E147" s="2" t="inlineStr">
        <is>
          <t>mm/mm</t>
        </is>
      </c>
      <c r="F147" s="2" t="inlineStr">
        <is>
          <t>MPa</t>
        </is>
      </c>
      <c r="G147" s="2" t="inlineStr">
        <is>
          <t>FIGURE_DIGITIZED_APPROX</t>
        </is>
      </c>
      <c r="H147" s="2" t="inlineStr">
        <is>
          <t>Figure2 p6</t>
        </is>
      </c>
      <c r="I147" s="2" t="inlineStr">
        <is>
          <t>No batch assignment for 2%; no local fracture conversion</t>
        </is>
      </c>
    </row>
    <row r="148">
      <c r="A148" s="2" t="inlineStr">
        <is>
          <t>fig2b_tension_vf1</t>
        </is>
      </c>
      <c r="B148" s="2" t="n">
        <v>1</v>
      </c>
      <c r="C148" s="2" t="n">
        <v>0.0005491</v>
      </c>
      <c r="D148" s="2" t="n">
        <v>6.88827</v>
      </c>
      <c r="E148" s="2" t="inlineStr">
        <is>
          <t>mm/mm</t>
        </is>
      </c>
      <c r="F148" s="2" t="inlineStr">
        <is>
          <t>MPa</t>
        </is>
      </c>
      <c r="G148" s="2" t="inlineStr">
        <is>
          <t>FIGURE_DIGITIZED_APPROX</t>
        </is>
      </c>
      <c r="H148" s="2" t="inlineStr">
        <is>
          <t>Figure2 p6</t>
        </is>
      </c>
      <c r="I148" s="2" t="inlineStr">
        <is>
          <t>No batch assignment for 2%; no local fracture conversion</t>
        </is>
      </c>
    </row>
    <row r="149">
      <c r="A149" s="2" t="inlineStr">
        <is>
          <t>fig2b_tension_vf1</t>
        </is>
      </c>
      <c r="B149" s="2" t="n">
        <v>1</v>
      </c>
      <c r="C149" s="2" t="n">
        <v>0.0006406</v>
      </c>
      <c r="D149" s="2" t="n">
        <v>6.97951</v>
      </c>
      <c r="E149" s="2" t="inlineStr">
        <is>
          <t>mm/mm</t>
        </is>
      </c>
      <c r="F149" s="2" t="inlineStr">
        <is>
          <t>MPa</t>
        </is>
      </c>
      <c r="G149" s="2" t="inlineStr">
        <is>
          <t>FIGURE_DIGITIZED_APPROX</t>
        </is>
      </c>
      <c r="H149" s="2" t="inlineStr">
        <is>
          <t>Figure2 p6</t>
        </is>
      </c>
      <c r="I149" s="2" t="inlineStr">
        <is>
          <t>No batch assignment for 2%; no local fracture conversion</t>
        </is>
      </c>
    </row>
    <row r="150">
      <c r="A150" s="2" t="inlineStr">
        <is>
          <t>fig2b_tension_vf1</t>
        </is>
      </c>
      <c r="B150" s="2" t="n">
        <v>1</v>
      </c>
      <c r="C150" s="2" t="n">
        <v>0.0007321</v>
      </c>
      <c r="D150" s="2" t="n">
        <v>6.7187</v>
      </c>
      <c r="E150" s="2" t="inlineStr">
        <is>
          <t>mm/mm</t>
        </is>
      </c>
      <c r="F150" s="2" t="inlineStr">
        <is>
          <t>MPa</t>
        </is>
      </c>
      <c r="G150" s="2" t="inlineStr">
        <is>
          <t>FIGURE_DIGITIZED_APPROX</t>
        </is>
      </c>
      <c r="H150" s="2" t="inlineStr">
        <is>
          <t>Figure2 p6</t>
        </is>
      </c>
      <c r="I150" s="2" t="inlineStr">
        <is>
          <t>No batch assignment for 2%; no local fracture conversion</t>
        </is>
      </c>
    </row>
    <row r="151">
      <c r="A151" s="2" t="inlineStr">
        <is>
          <t>fig2b_tension_vf1</t>
        </is>
      </c>
      <c r="B151" s="2" t="n">
        <v>1</v>
      </c>
      <c r="C151" s="2" t="n">
        <v>0.0008236</v>
      </c>
      <c r="D151" s="2" t="n">
        <v>6.69054</v>
      </c>
      <c r="E151" s="2" t="inlineStr">
        <is>
          <t>mm/mm</t>
        </is>
      </c>
      <c r="F151" s="2" t="inlineStr">
        <is>
          <t>MPa</t>
        </is>
      </c>
      <c r="G151" s="2" t="inlineStr">
        <is>
          <t>FIGURE_DIGITIZED_APPROX</t>
        </is>
      </c>
      <c r="H151" s="2" t="inlineStr">
        <is>
          <t>Figure2 p6</t>
        </is>
      </c>
      <c r="I151" s="2" t="inlineStr">
        <is>
          <t>No batch assignment for 2%; no local fracture conversion</t>
        </is>
      </c>
    </row>
    <row r="152">
      <c r="A152" s="2" t="inlineStr">
        <is>
          <t>fig2b_tension_vf1</t>
        </is>
      </c>
      <c r="B152" s="2" t="n">
        <v>1</v>
      </c>
      <c r="C152" s="2" t="n">
        <v>0.0009151</v>
      </c>
      <c r="D152" s="2" t="n">
        <v>6.92924</v>
      </c>
      <c r="E152" s="2" t="inlineStr">
        <is>
          <t>mm/mm</t>
        </is>
      </c>
      <c r="F152" s="2" t="inlineStr">
        <is>
          <t>MPa</t>
        </is>
      </c>
      <c r="G152" s="2" t="inlineStr">
        <is>
          <t>FIGURE_DIGITIZED_APPROX</t>
        </is>
      </c>
      <c r="H152" s="2" t="inlineStr">
        <is>
          <t>Figure2 p6</t>
        </is>
      </c>
      <c r="I152" s="2" t="inlineStr">
        <is>
          <t>No batch assignment for 2%; no local fracture conversion</t>
        </is>
      </c>
    </row>
    <row r="153">
      <c r="A153" s="2" t="inlineStr">
        <is>
          <t>fig2b_tension_vf1</t>
        </is>
      </c>
      <c r="B153" s="2" t="n">
        <v>1</v>
      </c>
      <c r="C153" s="2" t="n">
        <v>0.0010067</v>
      </c>
      <c r="D153" s="2" t="n">
        <v>7.03212</v>
      </c>
      <c r="E153" s="2" t="inlineStr">
        <is>
          <t>mm/mm</t>
        </is>
      </c>
      <c r="F153" s="2" t="inlineStr">
        <is>
          <t>MPa</t>
        </is>
      </c>
      <c r="G153" s="2" t="inlineStr">
        <is>
          <t>FIGURE_DIGITIZED_APPROX</t>
        </is>
      </c>
      <c r="H153" s="2" t="inlineStr">
        <is>
          <t>Figure2 p6</t>
        </is>
      </c>
      <c r="I153" s="2" t="inlineStr">
        <is>
          <t>No batch assignment for 2%; no local fracture conversion</t>
        </is>
      </c>
    </row>
    <row r="154">
      <c r="A154" s="2" t="inlineStr">
        <is>
          <t>fig2b_tension_vf1</t>
        </is>
      </c>
      <c r="B154" s="2" t="n">
        <v>1</v>
      </c>
      <c r="C154" s="2" t="n">
        <v>0.0010982</v>
      </c>
      <c r="D154" s="2" t="n">
        <v>7.07896</v>
      </c>
      <c r="E154" s="2" t="inlineStr">
        <is>
          <t>mm/mm</t>
        </is>
      </c>
      <c r="F154" s="2" t="inlineStr">
        <is>
          <t>MPa</t>
        </is>
      </c>
      <c r="G154" s="2" t="inlineStr">
        <is>
          <t>FIGURE_DIGITIZED_APPROX</t>
        </is>
      </c>
      <c r="H154" s="2" t="inlineStr">
        <is>
          <t>Figure2 p6</t>
        </is>
      </c>
      <c r="I154" s="2" t="inlineStr">
        <is>
          <t>No batch assignment for 2%; no local fracture conversion</t>
        </is>
      </c>
    </row>
    <row r="155">
      <c r="A155" s="2" t="inlineStr">
        <is>
          <t>fig2b_tension_vf1</t>
        </is>
      </c>
      <c r="B155" s="2" t="n">
        <v>1</v>
      </c>
      <c r="C155" s="2" t="n">
        <v>0.0011897</v>
      </c>
      <c r="D155" s="2" t="n">
        <v>7.08825</v>
      </c>
      <c r="E155" s="2" t="inlineStr">
        <is>
          <t>mm/mm</t>
        </is>
      </c>
      <c r="F155" s="2" t="inlineStr">
        <is>
          <t>MPa</t>
        </is>
      </c>
      <c r="G155" s="2" t="inlineStr">
        <is>
          <t>FIGURE_DIGITIZED_APPROX</t>
        </is>
      </c>
      <c r="H155" s="2" t="inlineStr">
        <is>
          <t>Figure2 p6</t>
        </is>
      </c>
      <c r="I155" s="2" t="inlineStr">
        <is>
          <t>No batch assignment for 2%; no local fracture conversion</t>
        </is>
      </c>
    </row>
    <row r="156">
      <c r="A156" s="2" t="inlineStr">
        <is>
          <t>fig2b_tension_vf1</t>
        </is>
      </c>
      <c r="B156" s="2" t="n">
        <v>1</v>
      </c>
      <c r="C156" s="2" t="n">
        <v>0.0012812</v>
      </c>
      <c r="D156" s="2" t="n">
        <v>7.08121</v>
      </c>
      <c r="E156" s="2" t="inlineStr">
        <is>
          <t>mm/mm</t>
        </is>
      </c>
      <c r="F156" s="2" t="inlineStr">
        <is>
          <t>MPa</t>
        </is>
      </c>
      <c r="G156" s="2" t="inlineStr">
        <is>
          <t>FIGURE_DIGITIZED_APPROX</t>
        </is>
      </c>
      <c r="H156" s="2" t="inlineStr">
        <is>
          <t>Figure2 p6</t>
        </is>
      </c>
      <c r="I156" s="2" t="inlineStr">
        <is>
          <t>No batch assignment for 2%; no local fracture conversion</t>
        </is>
      </c>
    </row>
    <row r="157">
      <c r="A157" s="2" t="inlineStr">
        <is>
          <t>fig2b_tension_vf1</t>
        </is>
      </c>
      <c r="B157" s="2" t="n">
        <v>1</v>
      </c>
      <c r="C157" s="2" t="n">
        <v>0.0013727</v>
      </c>
      <c r="D157" s="2" t="n">
        <v>7.09411</v>
      </c>
      <c r="E157" s="2" t="inlineStr">
        <is>
          <t>mm/mm</t>
        </is>
      </c>
      <c r="F157" s="2" t="inlineStr">
        <is>
          <t>MPa</t>
        </is>
      </c>
      <c r="G157" s="2" t="inlineStr">
        <is>
          <t>FIGURE_DIGITIZED_APPROX</t>
        </is>
      </c>
      <c r="H157" s="2" t="inlineStr">
        <is>
          <t>Figure2 p6</t>
        </is>
      </c>
      <c r="I157" s="2" t="inlineStr">
        <is>
          <t>No batch assignment for 2%; no local fracture conversion</t>
        </is>
      </c>
    </row>
    <row r="158">
      <c r="A158" s="2" t="inlineStr">
        <is>
          <t>fig2b_tension_vf1</t>
        </is>
      </c>
      <c r="B158" s="2" t="n">
        <v>1</v>
      </c>
      <c r="C158" s="2" t="n">
        <v>0.0014642</v>
      </c>
      <c r="D158" s="2" t="n">
        <v>7.10057</v>
      </c>
      <c r="E158" s="2" t="inlineStr">
        <is>
          <t>mm/mm</t>
        </is>
      </c>
      <c r="F158" s="2" t="inlineStr">
        <is>
          <t>MPa</t>
        </is>
      </c>
      <c r="G158" s="2" t="inlineStr">
        <is>
          <t>FIGURE_DIGITIZED_APPROX</t>
        </is>
      </c>
      <c r="H158" s="2" t="inlineStr">
        <is>
          <t>Figure2 p6</t>
        </is>
      </c>
      <c r="I158" s="2" t="inlineStr">
        <is>
          <t>No batch assignment for 2%; no local fracture conversion</t>
        </is>
      </c>
    </row>
    <row r="159">
      <c r="A159" s="2" t="inlineStr">
        <is>
          <t>fig2b_tension_vf1</t>
        </is>
      </c>
      <c r="B159" s="2" t="n">
        <v>1</v>
      </c>
      <c r="C159" s="2" t="n">
        <v>0.0015557</v>
      </c>
      <c r="D159" s="2" t="n">
        <v>7.09059</v>
      </c>
      <c r="E159" s="2" t="inlineStr">
        <is>
          <t>mm/mm</t>
        </is>
      </c>
      <c r="F159" s="2" t="inlineStr">
        <is>
          <t>MPa</t>
        </is>
      </c>
      <c r="G159" s="2" t="inlineStr">
        <is>
          <t>FIGURE_DIGITIZED_APPROX</t>
        </is>
      </c>
      <c r="H159" s="2" t="inlineStr">
        <is>
          <t>Figure2 p6</t>
        </is>
      </c>
      <c r="I159" s="2" t="inlineStr">
        <is>
          <t>No batch assignment for 2%; no local fracture conversion</t>
        </is>
      </c>
    </row>
    <row r="160">
      <c r="A160" s="2" t="inlineStr">
        <is>
          <t>fig2b_tension_vf1</t>
        </is>
      </c>
      <c r="B160" s="2" t="n">
        <v>1</v>
      </c>
      <c r="C160" s="2" t="n">
        <v>0.0016473</v>
      </c>
      <c r="D160" s="2" t="n">
        <v>7.07896</v>
      </c>
      <c r="E160" s="2" t="inlineStr">
        <is>
          <t>mm/mm</t>
        </is>
      </c>
      <c r="F160" s="2" t="inlineStr">
        <is>
          <t>MPa</t>
        </is>
      </c>
      <c r="G160" s="2" t="inlineStr">
        <is>
          <t>FIGURE_DIGITIZED_APPROX</t>
        </is>
      </c>
      <c r="H160" s="2" t="inlineStr">
        <is>
          <t>Figure2 p6</t>
        </is>
      </c>
      <c r="I160" s="2" t="inlineStr">
        <is>
          <t>No batch assignment for 2%; no local fracture conversion</t>
        </is>
      </c>
    </row>
    <row r="161">
      <c r="A161" s="2" t="inlineStr">
        <is>
          <t>fig2b_tension_vf1</t>
        </is>
      </c>
      <c r="B161" s="2" t="n">
        <v>1</v>
      </c>
      <c r="C161" s="2" t="n">
        <v>0.0017388</v>
      </c>
      <c r="D161" s="2" t="n">
        <v>7.06253</v>
      </c>
      <c r="E161" s="2" t="inlineStr">
        <is>
          <t>mm/mm</t>
        </is>
      </c>
      <c r="F161" s="2" t="inlineStr">
        <is>
          <t>MPa</t>
        </is>
      </c>
      <c r="G161" s="2" t="inlineStr">
        <is>
          <t>FIGURE_DIGITIZED_APPROX</t>
        </is>
      </c>
      <c r="H161" s="2" t="inlineStr">
        <is>
          <t>Figure2 p6</t>
        </is>
      </c>
      <c r="I161" s="2" t="inlineStr">
        <is>
          <t>No batch assignment for 2%; no local fracture conversion</t>
        </is>
      </c>
    </row>
    <row r="162">
      <c r="A162" s="2" t="inlineStr">
        <is>
          <t>fig2b_tension_vf1</t>
        </is>
      </c>
      <c r="B162" s="2" t="n">
        <v>1</v>
      </c>
      <c r="C162" s="2" t="n">
        <v>0.0018303</v>
      </c>
      <c r="D162" s="2" t="n">
        <v>7.03221</v>
      </c>
      <c r="E162" s="2" t="inlineStr">
        <is>
          <t>mm/mm</t>
        </is>
      </c>
      <c r="F162" s="2" t="inlineStr">
        <is>
          <t>MPa</t>
        </is>
      </c>
      <c r="G162" s="2" t="inlineStr">
        <is>
          <t>FIGURE_DIGITIZED_APPROX</t>
        </is>
      </c>
      <c r="H162" s="2" t="inlineStr">
        <is>
          <t>Figure2 p6</t>
        </is>
      </c>
      <c r="I162" s="2" t="inlineStr">
        <is>
          <t>No batch assignment for 2%; no local fracture conversion</t>
        </is>
      </c>
    </row>
    <row r="163">
      <c r="A163" s="2" t="inlineStr">
        <is>
          <t>fig2b_tension_vf1</t>
        </is>
      </c>
      <c r="B163" s="2" t="n">
        <v>1</v>
      </c>
      <c r="C163" s="2" t="n">
        <v>0.0019218</v>
      </c>
      <c r="D163" s="2" t="n">
        <v>7.00757</v>
      </c>
      <c r="E163" s="2" t="inlineStr">
        <is>
          <t>mm/mm</t>
        </is>
      </c>
      <c r="F163" s="2" t="inlineStr">
        <is>
          <t>MPa</t>
        </is>
      </c>
      <c r="G163" s="2" t="inlineStr">
        <is>
          <t>FIGURE_DIGITIZED_APPROX</t>
        </is>
      </c>
      <c r="H163" s="2" t="inlineStr">
        <is>
          <t>Figure2 p6</t>
        </is>
      </c>
      <c r="I163" s="2" t="inlineStr">
        <is>
          <t>No batch assignment for 2%; no local fracture conversion</t>
        </is>
      </c>
    </row>
    <row r="164">
      <c r="A164" s="2" t="inlineStr">
        <is>
          <t>fig2b_tension_vf1</t>
        </is>
      </c>
      <c r="B164" s="2" t="n">
        <v>1</v>
      </c>
      <c r="C164" s="2" t="n">
        <v>0.0020133</v>
      </c>
      <c r="D164" s="2" t="n">
        <v>7.00757</v>
      </c>
      <c r="E164" s="2" t="inlineStr">
        <is>
          <t>mm/mm</t>
        </is>
      </c>
      <c r="F164" s="2" t="inlineStr">
        <is>
          <t>MPa</t>
        </is>
      </c>
      <c r="G164" s="2" t="inlineStr">
        <is>
          <t>FIGURE_DIGITIZED_APPROX</t>
        </is>
      </c>
      <c r="H164" s="2" t="inlineStr">
        <is>
          <t>Figure2 p6</t>
        </is>
      </c>
      <c r="I164" s="2" t="inlineStr">
        <is>
          <t>No batch assignment for 2%; no local fracture conversion</t>
        </is>
      </c>
    </row>
    <row r="165">
      <c r="A165" s="2" t="inlineStr">
        <is>
          <t>fig2b_tension_vf1</t>
        </is>
      </c>
      <c r="B165" s="2" t="n">
        <v>1</v>
      </c>
      <c r="C165" s="2" t="n">
        <v>0.0021048</v>
      </c>
      <c r="D165" s="2" t="n">
        <v>6.99711</v>
      </c>
      <c r="E165" s="2" t="inlineStr">
        <is>
          <t>mm/mm</t>
        </is>
      </c>
      <c r="F165" s="2" t="inlineStr">
        <is>
          <t>MPa</t>
        </is>
      </c>
      <c r="G165" s="2" t="inlineStr">
        <is>
          <t>FIGURE_DIGITIZED_APPROX</t>
        </is>
      </c>
      <c r="H165" s="2" t="inlineStr">
        <is>
          <t>Figure2 p6</t>
        </is>
      </c>
      <c r="I165" s="2" t="inlineStr">
        <is>
          <t>No batch assignment for 2%; no local fracture conversion</t>
        </is>
      </c>
    </row>
    <row r="166">
      <c r="A166" s="2" t="inlineStr">
        <is>
          <t>fig2b_tension_vf1</t>
        </is>
      </c>
      <c r="B166" s="2" t="n">
        <v>1</v>
      </c>
      <c r="C166" s="2" t="n">
        <v>0.0021963</v>
      </c>
      <c r="D166" s="2" t="n">
        <v>6.98537</v>
      </c>
      <c r="E166" s="2" t="inlineStr">
        <is>
          <t>mm/mm</t>
        </is>
      </c>
      <c r="F166" s="2" t="inlineStr">
        <is>
          <t>MPa</t>
        </is>
      </c>
      <c r="G166" s="2" t="inlineStr">
        <is>
          <t>FIGURE_DIGITIZED_APPROX</t>
        </is>
      </c>
      <c r="H166" s="2" t="inlineStr">
        <is>
          <t>Figure2 p6</t>
        </is>
      </c>
      <c r="I166" s="2" t="inlineStr">
        <is>
          <t>No batch assignment for 2%; no local fracture conversion</t>
        </is>
      </c>
    </row>
    <row r="167">
      <c r="A167" s="2" t="inlineStr">
        <is>
          <t>fig2b_tension_vf1</t>
        </is>
      </c>
      <c r="B167" s="2" t="n">
        <v>1</v>
      </c>
      <c r="C167" s="2" t="n">
        <v>0.0022879</v>
      </c>
      <c r="D167" s="2" t="n">
        <v>6.96435</v>
      </c>
      <c r="E167" s="2" t="inlineStr">
        <is>
          <t>mm/mm</t>
        </is>
      </c>
      <c r="F167" s="2" t="inlineStr">
        <is>
          <t>MPa</t>
        </is>
      </c>
      <c r="G167" s="2" t="inlineStr">
        <is>
          <t>FIGURE_DIGITIZED_APPROX</t>
        </is>
      </c>
      <c r="H167" s="2" t="inlineStr">
        <is>
          <t>Figure2 p6</t>
        </is>
      </c>
      <c r="I167" s="2" t="inlineStr">
        <is>
          <t>No batch assignment for 2%; no local fracture conversion</t>
        </is>
      </c>
    </row>
    <row r="168">
      <c r="A168" s="2" t="inlineStr">
        <is>
          <t>fig2b_tension_vf1</t>
        </is>
      </c>
      <c r="B168" s="2" t="n">
        <v>1</v>
      </c>
      <c r="C168" s="2" t="n">
        <v>0.0023794</v>
      </c>
      <c r="D168" s="2" t="n">
        <v>6.93736</v>
      </c>
      <c r="E168" s="2" t="inlineStr">
        <is>
          <t>mm/mm</t>
        </is>
      </c>
      <c r="F168" s="2" t="inlineStr">
        <is>
          <t>MPa</t>
        </is>
      </c>
      <c r="G168" s="2" t="inlineStr">
        <is>
          <t>FIGURE_DIGITIZED_APPROX</t>
        </is>
      </c>
      <c r="H168" s="2" t="inlineStr">
        <is>
          <t>Figure2 p6</t>
        </is>
      </c>
      <c r="I168" s="2" t="inlineStr">
        <is>
          <t>No batch assignment for 2%; no local fracture conversion</t>
        </is>
      </c>
    </row>
    <row r="169">
      <c r="A169" s="2" t="inlineStr">
        <is>
          <t>fig2b_tension_vf1</t>
        </is>
      </c>
      <c r="B169" s="2" t="n">
        <v>1</v>
      </c>
      <c r="C169" s="2" t="n">
        <v>0.0024709</v>
      </c>
      <c r="D169" s="2" t="n">
        <v>6.86949</v>
      </c>
      <c r="E169" s="2" t="inlineStr">
        <is>
          <t>mm/mm</t>
        </is>
      </c>
      <c r="F169" s="2" t="inlineStr">
        <is>
          <t>MPa</t>
        </is>
      </c>
      <c r="G169" s="2" t="inlineStr">
        <is>
          <t>FIGURE_DIGITIZED_APPROX</t>
        </is>
      </c>
      <c r="H169" s="2" t="inlineStr">
        <is>
          <t>Figure2 p6</t>
        </is>
      </c>
      <c r="I169" s="2" t="inlineStr">
        <is>
          <t>No batch assignment for 2%; no local fracture conversion</t>
        </is>
      </c>
    </row>
    <row r="170">
      <c r="A170" s="2" t="inlineStr">
        <is>
          <t>fig2b_tension_vf1</t>
        </is>
      </c>
      <c r="B170" s="2" t="n">
        <v>1</v>
      </c>
      <c r="C170" s="2" t="n">
        <v>0.0025624</v>
      </c>
      <c r="D170" s="2" t="n">
        <v>6.8251</v>
      </c>
      <c r="E170" s="2" t="inlineStr">
        <is>
          <t>mm/mm</t>
        </is>
      </c>
      <c r="F170" s="2" t="inlineStr">
        <is>
          <t>MPa</t>
        </is>
      </c>
      <c r="G170" s="2" t="inlineStr">
        <is>
          <t>FIGURE_DIGITIZED_APPROX</t>
        </is>
      </c>
      <c r="H170" s="2" t="inlineStr">
        <is>
          <t>Figure2 p6</t>
        </is>
      </c>
      <c r="I170" s="2" t="inlineStr">
        <is>
          <t>No batch assignment for 2%; no local fracture conversion</t>
        </is>
      </c>
    </row>
    <row r="171">
      <c r="A171" s="2" t="inlineStr">
        <is>
          <t>fig2b_tension_vf1</t>
        </is>
      </c>
      <c r="B171" s="2" t="n">
        <v>1</v>
      </c>
      <c r="C171" s="2" t="n">
        <v>0.0026539</v>
      </c>
      <c r="D171" s="2" t="n">
        <v>6.79117</v>
      </c>
      <c r="E171" s="2" t="inlineStr">
        <is>
          <t>mm/mm</t>
        </is>
      </c>
      <c r="F171" s="2" t="inlineStr">
        <is>
          <t>MPa</t>
        </is>
      </c>
      <c r="G171" s="2" t="inlineStr">
        <is>
          <t>FIGURE_DIGITIZED_APPROX</t>
        </is>
      </c>
      <c r="H171" s="2" t="inlineStr">
        <is>
          <t>Figure2 p6</t>
        </is>
      </c>
      <c r="I171" s="2" t="inlineStr">
        <is>
          <t>No batch assignment for 2%; no local fracture conversion</t>
        </is>
      </c>
    </row>
    <row r="172">
      <c r="A172" s="2" t="inlineStr">
        <is>
          <t>fig2b_tension_vf1</t>
        </is>
      </c>
      <c r="B172" s="2" t="n">
        <v>1</v>
      </c>
      <c r="C172" s="2" t="n">
        <v>0.0027454</v>
      </c>
      <c r="D172" s="2" t="n">
        <v>6.7631</v>
      </c>
      <c r="E172" s="2" t="inlineStr">
        <is>
          <t>mm/mm</t>
        </is>
      </c>
      <c r="F172" s="2" t="inlineStr">
        <is>
          <t>MPa</t>
        </is>
      </c>
      <c r="G172" s="2" t="inlineStr">
        <is>
          <t>FIGURE_DIGITIZED_APPROX</t>
        </is>
      </c>
      <c r="H172" s="2" t="inlineStr">
        <is>
          <t>Figure2 p6</t>
        </is>
      </c>
      <c r="I172" s="2" t="inlineStr">
        <is>
          <t>No batch assignment for 2%; no local fracture conversion</t>
        </is>
      </c>
    </row>
    <row r="173">
      <c r="A173" s="2" t="inlineStr">
        <is>
          <t>fig2b_tension_vf1</t>
        </is>
      </c>
      <c r="B173" s="2" t="n">
        <v>1</v>
      </c>
      <c r="C173" s="2" t="n">
        <v>0.0028369</v>
      </c>
      <c r="D173" s="2" t="n">
        <v>6.73327</v>
      </c>
      <c r="E173" s="2" t="inlineStr">
        <is>
          <t>mm/mm</t>
        </is>
      </c>
      <c r="F173" s="2" t="inlineStr">
        <is>
          <t>MPa</t>
        </is>
      </c>
      <c r="G173" s="2" t="inlineStr">
        <is>
          <t>FIGURE_DIGITIZED_APPROX</t>
        </is>
      </c>
      <c r="H173" s="2" t="inlineStr">
        <is>
          <t>Figure2 p6</t>
        </is>
      </c>
      <c r="I173" s="2" t="inlineStr">
        <is>
          <t>No batch assignment for 2%; no local fracture conversion</t>
        </is>
      </c>
    </row>
    <row r="174">
      <c r="A174" s="2" t="inlineStr">
        <is>
          <t>fig2b_tension_vf1</t>
        </is>
      </c>
      <c r="B174" s="2" t="n">
        <v>1</v>
      </c>
      <c r="C174" s="2" t="n">
        <v>0.0029285</v>
      </c>
      <c r="D174" s="2" t="n">
        <v>6.70345</v>
      </c>
      <c r="E174" s="2" t="inlineStr">
        <is>
          <t>mm/mm</t>
        </is>
      </c>
      <c r="F174" s="2" t="inlineStr">
        <is>
          <t>MPa</t>
        </is>
      </c>
      <c r="G174" s="2" t="inlineStr">
        <is>
          <t>FIGURE_DIGITIZED_APPROX</t>
        </is>
      </c>
      <c r="H174" s="2" t="inlineStr">
        <is>
          <t>Figure2 p6</t>
        </is>
      </c>
      <c r="I174" s="2" t="inlineStr">
        <is>
          <t>No batch assignment for 2%; no local fracture conversion</t>
        </is>
      </c>
    </row>
    <row r="175">
      <c r="A175" s="2" t="inlineStr">
        <is>
          <t>fig2b_tension_vf1</t>
        </is>
      </c>
      <c r="B175" s="2" t="n">
        <v>1</v>
      </c>
      <c r="C175" s="2" t="n">
        <v>0.00302</v>
      </c>
      <c r="D175" s="2" t="n">
        <v>6.66609</v>
      </c>
      <c r="E175" s="2" t="inlineStr">
        <is>
          <t>mm/mm</t>
        </is>
      </c>
      <c r="F175" s="2" t="inlineStr">
        <is>
          <t>MPa</t>
        </is>
      </c>
      <c r="G175" s="2" t="inlineStr">
        <is>
          <t>FIGURE_DIGITIZED_APPROX</t>
        </is>
      </c>
      <c r="H175" s="2" t="inlineStr">
        <is>
          <t>Figure2 p6</t>
        </is>
      </c>
      <c r="I175" s="2" t="inlineStr">
        <is>
          <t>No batch assignment for 2%; no local fracture conversion</t>
        </is>
      </c>
    </row>
    <row r="176">
      <c r="A176" s="2" t="inlineStr">
        <is>
          <t>fig2b_tension_vf1</t>
        </is>
      </c>
      <c r="B176" s="2" t="n">
        <v>1</v>
      </c>
      <c r="C176" s="2" t="n">
        <v>0.0031115</v>
      </c>
      <c r="D176" s="2" t="n">
        <v>6.64438</v>
      </c>
      <c r="E176" s="2" t="inlineStr">
        <is>
          <t>mm/mm</t>
        </is>
      </c>
      <c r="F176" s="2" t="inlineStr">
        <is>
          <t>MPa</t>
        </is>
      </c>
      <c r="G176" s="2" t="inlineStr">
        <is>
          <t>FIGURE_DIGITIZED_APPROX</t>
        </is>
      </c>
      <c r="H176" s="2" t="inlineStr">
        <is>
          <t>Figure2 p6</t>
        </is>
      </c>
      <c r="I176" s="2" t="inlineStr">
        <is>
          <t>No batch assignment for 2%; no local fracture conversion</t>
        </is>
      </c>
    </row>
    <row r="177">
      <c r="A177" s="2" t="inlineStr">
        <is>
          <t>fig2b_tension_vf1</t>
        </is>
      </c>
      <c r="B177" s="2" t="n">
        <v>1</v>
      </c>
      <c r="C177" s="2" t="n">
        <v>0.003203</v>
      </c>
      <c r="D177" s="2" t="n">
        <v>6.61808</v>
      </c>
      <c r="E177" s="2" t="inlineStr">
        <is>
          <t>mm/mm</t>
        </is>
      </c>
      <c r="F177" s="2" t="inlineStr">
        <is>
          <t>MPa</t>
        </is>
      </c>
      <c r="G177" s="2" t="inlineStr">
        <is>
          <t>FIGURE_DIGITIZED_APPROX</t>
        </is>
      </c>
      <c r="H177" s="2" t="inlineStr">
        <is>
          <t>Figure2 p6</t>
        </is>
      </c>
      <c r="I177" s="2" t="inlineStr">
        <is>
          <t>No batch assignment for 2%; no local fracture conversion</t>
        </is>
      </c>
    </row>
    <row r="178">
      <c r="A178" s="2" t="inlineStr">
        <is>
          <t>fig2b_tension_vf1</t>
        </is>
      </c>
      <c r="B178" s="2" t="n">
        <v>1</v>
      </c>
      <c r="C178" s="2" t="n">
        <v>0.0032945</v>
      </c>
      <c r="D178" s="2" t="n">
        <v>6.58532</v>
      </c>
      <c r="E178" s="2" t="inlineStr">
        <is>
          <t>mm/mm</t>
        </is>
      </c>
      <c r="F178" s="2" t="inlineStr">
        <is>
          <t>MPa</t>
        </is>
      </c>
      <c r="G178" s="2" t="inlineStr">
        <is>
          <t>FIGURE_DIGITIZED_APPROX</t>
        </is>
      </c>
      <c r="H178" s="2" t="inlineStr">
        <is>
          <t>Figure2 p6</t>
        </is>
      </c>
      <c r="I178" s="2" t="inlineStr">
        <is>
          <t>No batch assignment for 2%; no local fracture conversion</t>
        </is>
      </c>
    </row>
    <row r="179">
      <c r="A179" s="2" t="inlineStr">
        <is>
          <t>fig2b_tension_vf1</t>
        </is>
      </c>
      <c r="B179" s="2" t="n">
        <v>1</v>
      </c>
      <c r="C179" s="2" t="n">
        <v>0.003386</v>
      </c>
      <c r="D179" s="2" t="n">
        <v>6.54904</v>
      </c>
      <c r="E179" s="2" t="inlineStr">
        <is>
          <t>mm/mm</t>
        </is>
      </c>
      <c r="F179" s="2" t="inlineStr">
        <is>
          <t>MPa</t>
        </is>
      </c>
      <c r="G179" s="2" t="inlineStr">
        <is>
          <t>FIGURE_DIGITIZED_APPROX</t>
        </is>
      </c>
      <c r="H179" s="2" t="inlineStr">
        <is>
          <t>Figure2 p6</t>
        </is>
      </c>
      <c r="I179" s="2" t="inlineStr">
        <is>
          <t>No batch assignment for 2%; no local fracture conversion</t>
        </is>
      </c>
    </row>
    <row r="180">
      <c r="A180" s="2" t="inlineStr">
        <is>
          <t>fig2b_tension_vf1</t>
        </is>
      </c>
      <c r="B180" s="2" t="n">
        <v>1</v>
      </c>
      <c r="C180" s="2" t="n">
        <v>0.0034775</v>
      </c>
      <c r="D180" s="2" t="n">
        <v>6.49291</v>
      </c>
      <c r="E180" s="2" t="inlineStr">
        <is>
          <t>mm/mm</t>
        </is>
      </c>
      <c r="F180" s="2" t="inlineStr">
        <is>
          <t>MPa</t>
        </is>
      </c>
      <c r="G180" s="2" t="inlineStr">
        <is>
          <t>FIGURE_DIGITIZED_APPROX</t>
        </is>
      </c>
      <c r="H180" s="2" t="inlineStr">
        <is>
          <t>Figure2 p6</t>
        </is>
      </c>
      <c r="I180" s="2" t="inlineStr">
        <is>
          <t>No batch assignment for 2%; no local fracture conversion</t>
        </is>
      </c>
    </row>
    <row r="181">
      <c r="A181" s="2" t="inlineStr">
        <is>
          <t>fig2b_tension_vf1</t>
        </is>
      </c>
      <c r="B181" s="2" t="n">
        <v>1</v>
      </c>
      <c r="C181" s="2" t="n">
        <v>0.003569</v>
      </c>
      <c r="D181" s="2" t="n">
        <v>6.45727</v>
      </c>
      <c r="E181" s="2" t="inlineStr">
        <is>
          <t>mm/mm</t>
        </is>
      </c>
      <c r="F181" s="2" t="inlineStr">
        <is>
          <t>MPa</t>
        </is>
      </c>
      <c r="G181" s="2" t="inlineStr">
        <is>
          <t>FIGURE_DIGITIZED_APPROX</t>
        </is>
      </c>
      <c r="H181" s="2" t="inlineStr">
        <is>
          <t>Figure2 p6</t>
        </is>
      </c>
      <c r="I181" s="2" t="inlineStr">
        <is>
          <t>No batch assignment for 2%; no local fracture conversion</t>
        </is>
      </c>
    </row>
    <row r="182">
      <c r="A182" s="2" t="inlineStr">
        <is>
          <t>fig2b_tension_vf1</t>
        </is>
      </c>
      <c r="B182" s="2" t="n">
        <v>1</v>
      </c>
      <c r="C182" s="2" t="n">
        <v>0.0036606</v>
      </c>
      <c r="D182" s="2" t="n">
        <v>6.41576</v>
      </c>
      <c r="E182" s="2" t="inlineStr">
        <is>
          <t>mm/mm</t>
        </is>
      </c>
      <c r="F182" s="2" t="inlineStr">
        <is>
          <t>MPa</t>
        </is>
      </c>
      <c r="G182" s="2" t="inlineStr">
        <is>
          <t>FIGURE_DIGITIZED_APPROX</t>
        </is>
      </c>
      <c r="H182" s="2" t="inlineStr">
        <is>
          <t>Figure2 p6</t>
        </is>
      </c>
      <c r="I182" s="2" t="inlineStr">
        <is>
          <t>No batch assignment for 2%; no local fracture conversion</t>
        </is>
      </c>
    </row>
    <row r="183">
      <c r="A183" s="2" t="inlineStr">
        <is>
          <t>fig2b_tension_vf1</t>
        </is>
      </c>
      <c r="B183" s="2" t="n">
        <v>1</v>
      </c>
      <c r="C183" s="2" t="n">
        <v>0.0037521</v>
      </c>
      <c r="D183" s="2" t="n">
        <v>6.31748</v>
      </c>
      <c r="E183" s="2" t="inlineStr">
        <is>
          <t>mm/mm</t>
        </is>
      </c>
      <c r="F183" s="2" t="inlineStr">
        <is>
          <t>MPa</t>
        </is>
      </c>
      <c r="G183" s="2" t="inlineStr">
        <is>
          <t>FIGURE_DIGITIZED_APPROX</t>
        </is>
      </c>
      <c r="H183" s="2" t="inlineStr">
        <is>
          <t>Figure2 p6</t>
        </is>
      </c>
      <c r="I183" s="2" t="inlineStr">
        <is>
          <t>No batch assignment for 2%; no local fracture conversion</t>
        </is>
      </c>
    </row>
    <row r="184">
      <c r="A184" s="2" t="inlineStr">
        <is>
          <t>fig2b_tension_vf1</t>
        </is>
      </c>
      <c r="B184" s="2" t="n">
        <v>1</v>
      </c>
      <c r="C184" s="2" t="n">
        <v>0.0038436</v>
      </c>
      <c r="D184" s="2" t="n">
        <v>6.27308</v>
      </c>
      <c r="E184" s="2" t="inlineStr">
        <is>
          <t>mm/mm</t>
        </is>
      </c>
      <c r="F184" s="2" t="inlineStr">
        <is>
          <t>MPa</t>
        </is>
      </c>
      <c r="G184" s="2" t="inlineStr">
        <is>
          <t>FIGURE_DIGITIZED_APPROX</t>
        </is>
      </c>
      <c r="H184" s="2" t="inlineStr">
        <is>
          <t>Figure2 p6</t>
        </is>
      </c>
      <c r="I184" s="2" t="inlineStr">
        <is>
          <t>No batch assignment for 2%; no local fracture conversion</t>
        </is>
      </c>
    </row>
    <row r="185">
      <c r="A185" s="2" t="inlineStr">
        <is>
          <t>fig2b_tension_vf1</t>
        </is>
      </c>
      <c r="B185" s="2" t="n">
        <v>1</v>
      </c>
      <c r="C185" s="2" t="n">
        <v>0.0039351</v>
      </c>
      <c r="D185" s="2" t="n">
        <v>6.23798</v>
      </c>
      <c r="E185" s="2" t="inlineStr">
        <is>
          <t>mm/mm</t>
        </is>
      </c>
      <c r="F185" s="2" t="inlineStr">
        <is>
          <t>MPa</t>
        </is>
      </c>
      <c r="G185" s="2" t="inlineStr">
        <is>
          <t>FIGURE_DIGITIZED_APPROX</t>
        </is>
      </c>
      <c r="H185" s="2" t="inlineStr">
        <is>
          <t>Figure2 p6</t>
        </is>
      </c>
      <c r="I185" s="2" t="inlineStr">
        <is>
          <t>No batch assignment for 2%; no local fracture conversion</t>
        </is>
      </c>
    </row>
    <row r="186">
      <c r="A186" s="2" t="inlineStr">
        <is>
          <t>fig2b_tension_vf1</t>
        </is>
      </c>
      <c r="B186" s="2" t="n">
        <v>1</v>
      </c>
      <c r="C186" s="2" t="n">
        <v>0.0040266</v>
      </c>
      <c r="D186" s="2" t="n">
        <v>6.12337</v>
      </c>
      <c r="E186" s="2" t="inlineStr">
        <is>
          <t>mm/mm</t>
        </is>
      </c>
      <c r="F186" s="2" t="inlineStr">
        <is>
          <t>MPa</t>
        </is>
      </c>
      <c r="G186" s="2" t="inlineStr">
        <is>
          <t>FIGURE_DIGITIZED_APPROX</t>
        </is>
      </c>
      <c r="H186" s="2" t="inlineStr">
        <is>
          <t>Figure2 p6</t>
        </is>
      </c>
      <c r="I186" s="2" t="inlineStr">
        <is>
          <t>No batch assignment for 2%; no local fracture conversion</t>
        </is>
      </c>
    </row>
    <row r="187">
      <c r="A187" s="2" t="inlineStr">
        <is>
          <t>fig2b_tension_vf1</t>
        </is>
      </c>
      <c r="B187" s="2" t="n">
        <v>1</v>
      </c>
      <c r="C187" s="2" t="n">
        <v>0.0041181</v>
      </c>
      <c r="D187" s="2" t="n">
        <v>6.0555</v>
      </c>
      <c r="E187" s="2" t="inlineStr">
        <is>
          <t>mm/mm</t>
        </is>
      </c>
      <c r="F187" s="2" t="inlineStr">
        <is>
          <t>MPa</t>
        </is>
      </c>
      <c r="G187" s="2" t="inlineStr">
        <is>
          <t>FIGURE_DIGITIZED_APPROX</t>
        </is>
      </c>
      <c r="H187" s="2" t="inlineStr">
        <is>
          <t>Figure2 p6</t>
        </is>
      </c>
      <c r="I187" s="2" t="inlineStr">
        <is>
          <t>No batch assignment for 2%; no local fracture conversion</t>
        </is>
      </c>
    </row>
    <row r="188">
      <c r="A188" s="2" t="inlineStr">
        <is>
          <t>fig2b_tension_vf1</t>
        </is>
      </c>
      <c r="B188" s="2" t="n">
        <v>1</v>
      </c>
      <c r="C188" s="2" t="n">
        <v>0.0042096</v>
      </c>
      <c r="D188" s="2" t="n">
        <v>6.01698</v>
      </c>
      <c r="E188" s="2" t="inlineStr">
        <is>
          <t>mm/mm</t>
        </is>
      </c>
      <c r="F188" s="2" t="inlineStr">
        <is>
          <t>MPa</t>
        </is>
      </c>
      <c r="G188" s="2" t="inlineStr">
        <is>
          <t>FIGURE_DIGITIZED_APPROX</t>
        </is>
      </c>
      <c r="H188" s="2" t="inlineStr">
        <is>
          <t>Figure2 p6</t>
        </is>
      </c>
      <c r="I188" s="2" t="inlineStr">
        <is>
          <t>No batch assignment for 2%; no local fracture conversion</t>
        </is>
      </c>
    </row>
    <row r="189">
      <c r="A189" s="2" t="inlineStr">
        <is>
          <t>fig2b_tension_vf1</t>
        </is>
      </c>
      <c r="B189" s="2" t="n">
        <v>1</v>
      </c>
      <c r="C189" s="2" t="n">
        <v>0.0043012</v>
      </c>
      <c r="D189" s="2" t="n">
        <v>5.96075</v>
      </c>
      <c r="E189" s="2" t="inlineStr">
        <is>
          <t>mm/mm</t>
        </is>
      </c>
      <c r="F189" s="2" t="inlineStr">
        <is>
          <t>MPa</t>
        </is>
      </c>
      <c r="G189" s="2" t="inlineStr">
        <is>
          <t>FIGURE_DIGITIZED_APPROX</t>
        </is>
      </c>
      <c r="H189" s="2" t="inlineStr">
        <is>
          <t>Figure2 p6</t>
        </is>
      </c>
      <c r="I189" s="2" t="inlineStr">
        <is>
          <t>No batch assignment for 2%; no local fracture conversion</t>
        </is>
      </c>
    </row>
    <row r="190">
      <c r="A190" s="2" t="inlineStr">
        <is>
          <t>fig2b_tension_vf1</t>
        </is>
      </c>
      <c r="B190" s="2" t="n">
        <v>1</v>
      </c>
      <c r="C190" s="2" t="n">
        <v>0.0043927</v>
      </c>
      <c r="D190" s="2" t="n">
        <v>5.77592</v>
      </c>
      <c r="E190" s="2" t="inlineStr">
        <is>
          <t>mm/mm</t>
        </is>
      </c>
      <c r="F190" s="2" t="inlineStr">
        <is>
          <t>MPa</t>
        </is>
      </c>
      <c r="G190" s="2" t="inlineStr">
        <is>
          <t>FIGURE_DIGITIZED_APPROX</t>
        </is>
      </c>
      <c r="H190" s="2" t="inlineStr">
        <is>
          <t>Figure2 p6</t>
        </is>
      </c>
      <c r="I190" s="2" t="inlineStr">
        <is>
          <t>No batch assignment for 2%; no local fracture conversion</t>
        </is>
      </c>
    </row>
    <row r="191">
      <c r="A191" s="2" t="inlineStr">
        <is>
          <t>fig2b_tension_vf1</t>
        </is>
      </c>
      <c r="B191" s="2" t="n">
        <v>1</v>
      </c>
      <c r="C191" s="2" t="n">
        <v>0.0044842</v>
      </c>
      <c r="D191" s="2" t="n">
        <v>5.65613</v>
      </c>
      <c r="E191" s="2" t="inlineStr">
        <is>
          <t>mm/mm</t>
        </is>
      </c>
      <c r="F191" s="2" t="inlineStr">
        <is>
          <t>MPa</t>
        </is>
      </c>
      <c r="G191" s="2" t="inlineStr">
        <is>
          <t>FIGURE_DIGITIZED_APPROX</t>
        </is>
      </c>
      <c r="H191" s="2" t="inlineStr">
        <is>
          <t>Figure2 p6</t>
        </is>
      </c>
      <c r="I191" s="2" t="inlineStr">
        <is>
          <t>No batch assignment for 2%; no local fracture conversion</t>
        </is>
      </c>
    </row>
    <row r="192">
      <c r="A192" s="2" t="inlineStr">
        <is>
          <t>fig2b_tension_vf1</t>
        </is>
      </c>
      <c r="B192" s="2" t="n">
        <v>1</v>
      </c>
      <c r="C192" s="2" t="n">
        <v>0.0045757</v>
      </c>
      <c r="D192" s="2" t="n">
        <v>5.62044</v>
      </c>
      <c r="E192" s="2" t="inlineStr">
        <is>
          <t>mm/mm</t>
        </is>
      </c>
      <c r="F192" s="2" t="inlineStr">
        <is>
          <t>MPa</t>
        </is>
      </c>
      <c r="G192" s="2" t="inlineStr">
        <is>
          <t>FIGURE_DIGITIZED_APPROX</t>
        </is>
      </c>
      <c r="H192" s="2" t="inlineStr">
        <is>
          <t>Figure2 p6</t>
        </is>
      </c>
      <c r="I192" s="2" t="inlineStr">
        <is>
          <t>No batch assignment for 2%; no local fracture conversion</t>
        </is>
      </c>
    </row>
    <row r="193">
      <c r="A193" s="2" t="inlineStr">
        <is>
          <t>fig2b_tension_vf1</t>
        </is>
      </c>
      <c r="B193" s="2" t="n">
        <v>1</v>
      </c>
      <c r="C193" s="2" t="n">
        <v>0.0046672</v>
      </c>
      <c r="D193" s="2" t="n">
        <v>5.47894</v>
      </c>
      <c r="E193" s="2" t="inlineStr">
        <is>
          <t>mm/mm</t>
        </is>
      </c>
      <c r="F193" s="2" t="inlineStr">
        <is>
          <t>MPa</t>
        </is>
      </c>
      <c r="G193" s="2" t="inlineStr">
        <is>
          <t>FIGURE_DIGITIZED_APPROX</t>
        </is>
      </c>
      <c r="H193" s="2" t="inlineStr">
        <is>
          <t>Figure2 p6</t>
        </is>
      </c>
      <c r="I193" s="2" t="inlineStr">
        <is>
          <t>No batch assignment for 2%; no local fracture conversion</t>
        </is>
      </c>
    </row>
    <row r="194">
      <c r="A194" s="2" t="inlineStr">
        <is>
          <t>fig2b_tension_vf1</t>
        </is>
      </c>
      <c r="B194" s="2" t="n">
        <v>1</v>
      </c>
      <c r="C194" s="2" t="n">
        <v>0.0047587</v>
      </c>
      <c r="D194" s="2" t="n">
        <v>5.42868</v>
      </c>
      <c r="E194" s="2" t="inlineStr">
        <is>
          <t>mm/mm</t>
        </is>
      </c>
      <c r="F194" s="2" t="inlineStr">
        <is>
          <t>MPa</t>
        </is>
      </c>
      <c r="G194" s="2" t="inlineStr">
        <is>
          <t>FIGURE_DIGITIZED_APPROX</t>
        </is>
      </c>
      <c r="H194" s="2" t="inlineStr">
        <is>
          <t>Figure2 p6</t>
        </is>
      </c>
      <c r="I194" s="2" t="inlineStr">
        <is>
          <t>No batch assignment for 2%; no local fracture conversion</t>
        </is>
      </c>
    </row>
    <row r="195">
      <c r="A195" s="2" t="inlineStr">
        <is>
          <t>fig2b_tension_vf1</t>
        </is>
      </c>
      <c r="B195" s="2" t="n">
        <v>1</v>
      </c>
      <c r="C195" s="2" t="n">
        <v>0.0048502</v>
      </c>
      <c r="D195" s="2" t="n">
        <v>5.40052</v>
      </c>
      <c r="E195" s="2" t="inlineStr">
        <is>
          <t>mm/mm</t>
        </is>
      </c>
      <c r="F195" s="2" t="inlineStr">
        <is>
          <t>MPa</t>
        </is>
      </c>
      <c r="G195" s="2" t="inlineStr">
        <is>
          <t>FIGURE_DIGITIZED_APPROX</t>
        </is>
      </c>
      <c r="H195" s="2" t="inlineStr">
        <is>
          <t>Figure2 p6</t>
        </is>
      </c>
      <c r="I195" s="2" t="inlineStr">
        <is>
          <t>No batch assignment for 2%; no local fracture conversion</t>
        </is>
      </c>
    </row>
    <row r="196">
      <c r="A196" s="2" t="inlineStr">
        <is>
          <t>fig2b_tension_vf1</t>
        </is>
      </c>
      <c r="B196" s="2" t="n">
        <v>1</v>
      </c>
      <c r="C196" s="2" t="n">
        <v>0.0049418</v>
      </c>
      <c r="D196" s="2" t="n">
        <v>5.3304</v>
      </c>
      <c r="E196" s="2" t="inlineStr">
        <is>
          <t>mm/mm</t>
        </is>
      </c>
      <c r="F196" s="2" t="inlineStr">
        <is>
          <t>MPa</t>
        </is>
      </c>
      <c r="G196" s="2" t="inlineStr">
        <is>
          <t>FIGURE_DIGITIZED_APPROX</t>
        </is>
      </c>
      <c r="H196" s="2" t="inlineStr">
        <is>
          <t>Figure2 p6</t>
        </is>
      </c>
      <c r="I196" s="2" t="inlineStr">
        <is>
          <t>No batch assignment for 2%; no local fracture conversion</t>
        </is>
      </c>
    </row>
    <row r="197">
      <c r="A197" s="2" t="inlineStr">
        <is>
          <t>fig2b_tension_vf1</t>
        </is>
      </c>
      <c r="B197" s="2" t="n">
        <v>1</v>
      </c>
      <c r="C197" s="2" t="n">
        <v>0.0050333</v>
      </c>
      <c r="D197" s="2" t="n">
        <v>5.27662</v>
      </c>
      <c r="E197" s="2" t="inlineStr">
        <is>
          <t>mm/mm</t>
        </is>
      </c>
      <c r="F197" s="2" t="inlineStr">
        <is>
          <t>MPa</t>
        </is>
      </c>
      <c r="G197" s="2" t="inlineStr">
        <is>
          <t>FIGURE_DIGITIZED_APPROX</t>
        </is>
      </c>
      <c r="H197" s="2" t="inlineStr">
        <is>
          <t>Figure2 p6</t>
        </is>
      </c>
      <c r="I197" s="2" t="inlineStr">
        <is>
          <t>No batch assignment for 2%; no local fracture conversion</t>
        </is>
      </c>
    </row>
    <row r="198">
      <c r="A198" s="2" t="inlineStr">
        <is>
          <t>fig2b_tension_vf1</t>
        </is>
      </c>
      <c r="B198" s="2" t="n">
        <v>1</v>
      </c>
      <c r="C198" s="2" t="n">
        <v>0.0051248</v>
      </c>
      <c r="D198" s="2" t="n">
        <v>5.25784</v>
      </c>
      <c r="E198" s="2" t="inlineStr">
        <is>
          <t>mm/mm</t>
        </is>
      </c>
      <c r="F198" s="2" t="inlineStr">
        <is>
          <t>MPa</t>
        </is>
      </c>
      <c r="G198" s="2" t="inlineStr">
        <is>
          <t>FIGURE_DIGITIZED_APPROX</t>
        </is>
      </c>
      <c r="H198" s="2" t="inlineStr">
        <is>
          <t>Figure2 p6</t>
        </is>
      </c>
      <c r="I198" s="2" t="inlineStr">
        <is>
          <t>No batch assignment for 2%; no local fracture conversion</t>
        </is>
      </c>
    </row>
    <row r="199">
      <c r="A199" s="2" t="inlineStr">
        <is>
          <t>fig2b_tension_vf1</t>
        </is>
      </c>
      <c r="B199" s="2" t="n">
        <v>1</v>
      </c>
      <c r="C199" s="2" t="n">
        <v>0.0052163</v>
      </c>
      <c r="D199" s="2" t="n">
        <v>5.16201</v>
      </c>
      <c r="E199" s="2" t="inlineStr">
        <is>
          <t>mm/mm</t>
        </is>
      </c>
      <c r="F199" s="2" t="inlineStr">
        <is>
          <t>MPa</t>
        </is>
      </c>
      <c r="G199" s="2" t="inlineStr">
        <is>
          <t>FIGURE_DIGITIZED_APPROX</t>
        </is>
      </c>
      <c r="H199" s="2" t="inlineStr">
        <is>
          <t>Figure2 p6</t>
        </is>
      </c>
      <c r="I199" s="2" t="inlineStr">
        <is>
          <t>No batch assignment for 2%; no local fracture conversion</t>
        </is>
      </c>
    </row>
    <row r="200">
      <c r="A200" s="2" t="inlineStr">
        <is>
          <t>fig2b_tension_vf1</t>
        </is>
      </c>
      <c r="B200" s="2" t="n">
        <v>1</v>
      </c>
      <c r="C200" s="2" t="n">
        <v>0.0053078</v>
      </c>
      <c r="D200" s="2" t="n">
        <v>5.12925</v>
      </c>
      <c r="E200" s="2" t="inlineStr">
        <is>
          <t>mm/mm</t>
        </is>
      </c>
      <c r="F200" s="2" t="inlineStr">
        <is>
          <t>MPa</t>
        </is>
      </c>
      <c r="G200" s="2" t="inlineStr">
        <is>
          <t>FIGURE_DIGITIZED_APPROX</t>
        </is>
      </c>
      <c r="H200" s="2" t="inlineStr">
        <is>
          <t>Figure2 p6</t>
        </is>
      </c>
      <c r="I200" s="2" t="inlineStr">
        <is>
          <t>No batch assignment for 2%; no local fracture conversion</t>
        </is>
      </c>
    </row>
    <row r="201">
      <c r="A201" s="2" t="inlineStr">
        <is>
          <t>fig2b_tension_vf1</t>
        </is>
      </c>
      <c r="B201" s="2" t="n">
        <v>1</v>
      </c>
      <c r="C201" s="2" t="n">
        <v>0.0053993</v>
      </c>
      <c r="D201" s="2" t="n">
        <v>5.09767</v>
      </c>
      <c r="E201" s="2" t="inlineStr">
        <is>
          <t>mm/mm</t>
        </is>
      </c>
      <c r="F201" s="2" t="inlineStr">
        <is>
          <t>MPa</t>
        </is>
      </c>
      <c r="G201" s="2" t="inlineStr">
        <is>
          <t>FIGURE_DIGITIZED_APPROX</t>
        </is>
      </c>
      <c r="H201" s="2" t="inlineStr">
        <is>
          <t>Figure2 p6</t>
        </is>
      </c>
      <c r="I201" s="2" t="inlineStr">
        <is>
          <t>No batch assignment for 2%; no local fracture conversion</t>
        </is>
      </c>
    </row>
    <row r="202">
      <c r="A202" s="2" t="inlineStr">
        <is>
          <t>fig2b_tension_vf1</t>
        </is>
      </c>
      <c r="B202" s="2" t="n">
        <v>1</v>
      </c>
      <c r="C202" s="2" t="n">
        <v>0.0054908</v>
      </c>
      <c r="D202" s="2" t="n">
        <v>5.00878</v>
      </c>
      <c r="E202" s="2" t="inlineStr">
        <is>
          <t>mm/mm</t>
        </is>
      </c>
      <c r="F202" s="2" t="inlineStr">
        <is>
          <t>MPa</t>
        </is>
      </c>
      <c r="G202" s="2" t="inlineStr">
        <is>
          <t>FIGURE_DIGITIZED_APPROX</t>
        </is>
      </c>
      <c r="H202" s="2" t="inlineStr">
        <is>
          <t>Figure2 p6</t>
        </is>
      </c>
      <c r="I202" s="2" t="inlineStr">
        <is>
          <t>No batch assignment for 2%; no local fracture conversion</t>
        </is>
      </c>
    </row>
    <row r="203">
      <c r="A203" s="2" t="inlineStr">
        <is>
          <t>fig2b_tension_vf1</t>
        </is>
      </c>
      <c r="B203" s="2" t="n">
        <v>1</v>
      </c>
      <c r="C203" s="2" t="n">
        <v>0.0055824</v>
      </c>
      <c r="D203" s="2" t="n">
        <v>4.93974</v>
      </c>
      <c r="E203" s="2" t="inlineStr">
        <is>
          <t>mm/mm</t>
        </is>
      </c>
      <c r="F203" s="2" t="inlineStr">
        <is>
          <t>MPa</t>
        </is>
      </c>
      <c r="G203" s="2" t="inlineStr">
        <is>
          <t>FIGURE_DIGITIZED_APPROX</t>
        </is>
      </c>
      <c r="H203" s="2" t="inlineStr">
        <is>
          <t>Figure2 p6</t>
        </is>
      </c>
      <c r="I203" s="2" t="inlineStr">
        <is>
          <t>No batch assignment for 2%; no local fracture conversion</t>
        </is>
      </c>
    </row>
    <row r="204">
      <c r="A204" s="2" t="inlineStr">
        <is>
          <t>fig2b_tension_vf1</t>
        </is>
      </c>
      <c r="B204" s="2" t="n">
        <v>1</v>
      </c>
      <c r="C204" s="2" t="n">
        <v>0.0056739</v>
      </c>
      <c r="D204" s="2" t="n">
        <v>4.91461</v>
      </c>
      <c r="E204" s="2" t="inlineStr">
        <is>
          <t>mm/mm</t>
        </is>
      </c>
      <c r="F204" s="2" t="inlineStr">
        <is>
          <t>MPa</t>
        </is>
      </c>
      <c r="G204" s="2" t="inlineStr">
        <is>
          <t>FIGURE_DIGITIZED_APPROX</t>
        </is>
      </c>
      <c r="H204" s="2" t="inlineStr">
        <is>
          <t>Figure2 p6</t>
        </is>
      </c>
      <c r="I204" s="2" t="inlineStr">
        <is>
          <t>No batch assignment for 2%; no local fracture conversion</t>
        </is>
      </c>
    </row>
    <row r="205">
      <c r="A205" s="2" t="inlineStr">
        <is>
          <t>fig2b_tension_vf1</t>
        </is>
      </c>
      <c r="B205" s="2" t="n">
        <v>1</v>
      </c>
      <c r="C205" s="2" t="n">
        <v>0.0057654</v>
      </c>
      <c r="D205" s="2" t="n">
        <v>4.85662</v>
      </c>
      <c r="E205" s="2" t="inlineStr">
        <is>
          <t>mm/mm</t>
        </is>
      </c>
      <c r="F205" s="2" t="inlineStr">
        <is>
          <t>MPa</t>
        </is>
      </c>
      <c r="G205" s="2" t="inlineStr">
        <is>
          <t>FIGURE_DIGITIZED_APPROX</t>
        </is>
      </c>
      <c r="H205" s="2" t="inlineStr">
        <is>
          <t>Figure2 p6</t>
        </is>
      </c>
      <c r="I205" s="2" t="inlineStr">
        <is>
          <t>No batch assignment for 2%; no local fracture conversion</t>
        </is>
      </c>
    </row>
    <row r="206">
      <c r="A206" s="2" t="inlineStr">
        <is>
          <t>fig2b_tension_vf1</t>
        </is>
      </c>
      <c r="B206" s="2" t="n">
        <v>1</v>
      </c>
      <c r="C206" s="2" t="n">
        <v>0.0058569</v>
      </c>
      <c r="D206" s="2" t="n">
        <v>4.81809</v>
      </c>
      <c r="E206" s="2" t="inlineStr">
        <is>
          <t>mm/mm</t>
        </is>
      </c>
      <c r="F206" s="2" t="inlineStr">
        <is>
          <t>MPa</t>
        </is>
      </c>
      <c r="G206" s="2" t="inlineStr">
        <is>
          <t>FIGURE_DIGITIZED_APPROX</t>
        </is>
      </c>
      <c r="H206" s="2" t="inlineStr">
        <is>
          <t>Figure2 p6</t>
        </is>
      </c>
      <c r="I206" s="2" t="inlineStr">
        <is>
          <t>No batch assignment for 2%; no local fracture conversion</t>
        </is>
      </c>
    </row>
    <row r="207">
      <c r="A207" s="2" t="inlineStr">
        <is>
          <t>fig2b_tension_vf1</t>
        </is>
      </c>
      <c r="B207" s="2" t="n">
        <v>1</v>
      </c>
      <c r="C207" s="2" t="n">
        <v>0.0059484</v>
      </c>
      <c r="D207" s="2" t="n">
        <v>4.71756</v>
      </c>
      <c r="E207" s="2" t="inlineStr">
        <is>
          <t>mm/mm</t>
        </is>
      </c>
      <c r="F207" s="2" t="inlineStr">
        <is>
          <t>MPa</t>
        </is>
      </c>
      <c r="G207" s="2" t="inlineStr">
        <is>
          <t>FIGURE_DIGITIZED_APPROX</t>
        </is>
      </c>
      <c r="H207" s="2" t="inlineStr">
        <is>
          <t>Figure2 p6</t>
        </is>
      </c>
      <c r="I207" s="2" t="inlineStr">
        <is>
          <t>No batch assignment for 2%; no local fracture conversion</t>
        </is>
      </c>
    </row>
    <row r="208">
      <c r="A208" s="2" t="inlineStr">
        <is>
          <t>fig2b_tension_vf1</t>
        </is>
      </c>
      <c r="B208" s="2" t="n">
        <v>1</v>
      </c>
      <c r="C208" s="2" t="n">
        <v>0.0060399</v>
      </c>
      <c r="D208" s="2" t="n">
        <v>4.66955</v>
      </c>
      <c r="E208" s="2" t="inlineStr">
        <is>
          <t>mm/mm</t>
        </is>
      </c>
      <c r="F208" s="2" t="inlineStr">
        <is>
          <t>MPa</t>
        </is>
      </c>
      <c r="G208" s="2" t="inlineStr">
        <is>
          <t>FIGURE_DIGITIZED_APPROX</t>
        </is>
      </c>
      <c r="H208" s="2" t="inlineStr">
        <is>
          <t>Figure2 p6</t>
        </is>
      </c>
      <c r="I208" s="2" t="inlineStr">
        <is>
          <t>No batch assignment for 2%; no local fracture conversion</t>
        </is>
      </c>
    </row>
    <row r="209">
      <c r="A209" s="2" t="inlineStr">
        <is>
          <t>fig2b_tension_vf1</t>
        </is>
      </c>
      <c r="B209" s="2" t="n">
        <v>1</v>
      </c>
      <c r="C209" s="2" t="n">
        <v>0.0061314</v>
      </c>
      <c r="D209" s="2" t="n">
        <v>4.65087</v>
      </c>
      <c r="E209" s="2" t="inlineStr">
        <is>
          <t>mm/mm</t>
        </is>
      </c>
      <c r="F209" s="2" t="inlineStr">
        <is>
          <t>MPa</t>
        </is>
      </c>
      <c r="G209" s="2" t="inlineStr">
        <is>
          <t>FIGURE_DIGITIZED_APPROX</t>
        </is>
      </c>
      <c r="H209" s="2" t="inlineStr">
        <is>
          <t>Figure2 p6</t>
        </is>
      </c>
      <c r="I209" s="2" t="inlineStr">
        <is>
          <t>No batch assignment for 2%; no local fracture conversion</t>
        </is>
      </c>
    </row>
    <row r="210">
      <c r="A210" s="2" t="inlineStr">
        <is>
          <t>fig2b_tension_vf1</t>
        </is>
      </c>
      <c r="B210" s="2" t="n">
        <v>1</v>
      </c>
      <c r="C210" s="2" t="n">
        <v>0.006223</v>
      </c>
      <c r="D210" s="2" t="n">
        <v>4.55142</v>
      </c>
      <c r="E210" s="2" t="inlineStr">
        <is>
          <t>mm/mm</t>
        </is>
      </c>
      <c r="F210" s="2" t="inlineStr">
        <is>
          <t>MPa</t>
        </is>
      </c>
      <c r="G210" s="2" t="inlineStr">
        <is>
          <t>FIGURE_DIGITIZED_APPROX</t>
        </is>
      </c>
      <c r="H210" s="2" t="inlineStr">
        <is>
          <t>Figure2 p6</t>
        </is>
      </c>
      <c r="I210" s="2" t="inlineStr">
        <is>
          <t>No batch assignment for 2%; no local fracture conversion</t>
        </is>
      </c>
    </row>
    <row r="211">
      <c r="A211" s="2" t="inlineStr">
        <is>
          <t>fig2b_tension_vf1</t>
        </is>
      </c>
      <c r="B211" s="2" t="n">
        <v>1</v>
      </c>
      <c r="C211" s="2" t="n">
        <v>0.0063145</v>
      </c>
      <c r="D211" s="2" t="n">
        <v>4.42156</v>
      </c>
      <c r="E211" s="2" t="inlineStr">
        <is>
          <t>mm/mm</t>
        </is>
      </c>
      <c r="F211" s="2" t="inlineStr">
        <is>
          <t>MPa</t>
        </is>
      </c>
      <c r="G211" s="2" t="inlineStr">
        <is>
          <t>FIGURE_DIGITIZED_APPROX</t>
        </is>
      </c>
      <c r="H211" s="2" t="inlineStr">
        <is>
          <t>Figure2 p6</t>
        </is>
      </c>
      <c r="I211" s="2" t="inlineStr">
        <is>
          <t>No batch assignment for 2%; no local fracture conversion</t>
        </is>
      </c>
    </row>
    <row r="212">
      <c r="A212" s="2" t="inlineStr">
        <is>
          <t>fig2b_tension_vf1</t>
        </is>
      </c>
      <c r="B212" s="2" t="n">
        <v>1</v>
      </c>
      <c r="C212" s="2" t="n">
        <v>0.006406</v>
      </c>
      <c r="D212" s="2" t="n">
        <v>4.27654</v>
      </c>
      <c r="E212" s="2" t="inlineStr">
        <is>
          <t>mm/mm</t>
        </is>
      </c>
      <c r="F212" s="2" t="inlineStr">
        <is>
          <t>MPa</t>
        </is>
      </c>
      <c r="G212" s="2" t="inlineStr">
        <is>
          <t>FIGURE_DIGITIZED_APPROX</t>
        </is>
      </c>
      <c r="H212" s="2" t="inlineStr">
        <is>
          <t>Figure2 p6</t>
        </is>
      </c>
      <c r="I212" s="2" t="inlineStr">
        <is>
          <t>No batch assignment for 2%; no local fracture conversion</t>
        </is>
      </c>
    </row>
    <row r="213">
      <c r="A213" s="2" t="inlineStr">
        <is>
          <t>fig2b_tension_vf1</t>
        </is>
      </c>
      <c r="B213" s="2" t="n">
        <v>1</v>
      </c>
      <c r="C213" s="2" t="n">
        <v>0.0064975</v>
      </c>
      <c r="D213" s="2" t="n">
        <v>4.26021</v>
      </c>
      <c r="E213" s="2" t="inlineStr">
        <is>
          <t>mm/mm</t>
        </is>
      </c>
      <c r="F213" s="2" t="inlineStr">
        <is>
          <t>MPa</t>
        </is>
      </c>
      <c r="G213" s="2" t="inlineStr">
        <is>
          <t>FIGURE_DIGITIZED_APPROX</t>
        </is>
      </c>
      <c r="H213" s="2" t="inlineStr">
        <is>
          <t>Figure2 p6</t>
        </is>
      </c>
      <c r="I213" s="2" t="inlineStr">
        <is>
          <t>No batch assignment for 2%; no local fracture conversion</t>
        </is>
      </c>
    </row>
    <row r="214">
      <c r="A214" s="2" t="inlineStr">
        <is>
          <t>fig2b_tension_vf1</t>
        </is>
      </c>
      <c r="B214" s="2" t="n">
        <v>1</v>
      </c>
      <c r="C214" s="2" t="n">
        <v>0.006589</v>
      </c>
      <c r="D214" s="2" t="n">
        <v>4.10111</v>
      </c>
      <c r="E214" s="2" t="inlineStr">
        <is>
          <t>mm/mm</t>
        </is>
      </c>
      <c r="F214" s="2" t="inlineStr">
        <is>
          <t>MPa</t>
        </is>
      </c>
      <c r="G214" s="2" t="inlineStr">
        <is>
          <t>FIGURE_DIGITIZED_APPROX</t>
        </is>
      </c>
      <c r="H214" s="2" t="inlineStr">
        <is>
          <t>Figure2 p6</t>
        </is>
      </c>
      <c r="I214" s="2" t="inlineStr">
        <is>
          <t>No batch assignment for 2%; no local fracture conversion</t>
        </is>
      </c>
    </row>
    <row r="215">
      <c r="A215" s="2" t="inlineStr">
        <is>
          <t>fig2b_tension_vf1</t>
        </is>
      </c>
      <c r="B215" s="2" t="n">
        <v>1</v>
      </c>
      <c r="C215" s="2" t="n">
        <v>0.0066805</v>
      </c>
      <c r="D215" s="2" t="n">
        <v>4.09822</v>
      </c>
      <c r="E215" s="2" t="inlineStr">
        <is>
          <t>mm/mm</t>
        </is>
      </c>
      <c r="F215" s="2" t="inlineStr">
        <is>
          <t>MPa</t>
        </is>
      </c>
      <c r="G215" s="2" t="inlineStr">
        <is>
          <t>FIGURE_DIGITIZED_APPROX</t>
        </is>
      </c>
      <c r="H215" s="2" t="inlineStr">
        <is>
          <t>Figure2 p6</t>
        </is>
      </c>
      <c r="I215" s="2" t="inlineStr">
        <is>
          <t>No batch assignment for 2%; no local fracture conversion</t>
        </is>
      </c>
    </row>
    <row r="216">
      <c r="A216" s="2" t="inlineStr">
        <is>
          <t>fig2b_tension_vf1</t>
        </is>
      </c>
      <c r="B216" s="2" t="n">
        <v>1</v>
      </c>
      <c r="C216" s="2" t="n">
        <v>0.006772</v>
      </c>
      <c r="D216" s="2" t="n">
        <v>3.97476</v>
      </c>
      <c r="E216" s="2" t="inlineStr">
        <is>
          <t>mm/mm</t>
        </is>
      </c>
      <c r="F216" s="2" t="inlineStr">
        <is>
          <t>MPa</t>
        </is>
      </c>
      <c r="G216" s="2" t="inlineStr">
        <is>
          <t>FIGURE_DIGITIZED_APPROX</t>
        </is>
      </c>
      <c r="H216" s="2" t="inlineStr">
        <is>
          <t>Figure2 p6</t>
        </is>
      </c>
      <c r="I216" s="2" t="inlineStr">
        <is>
          <t>No batch assignment for 2%; no local fracture conversion</t>
        </is>
      </c>
    </row>
    <row r="217">
      <c r="A217" s="2" t="inlineStr">
        <is>
          <t>fig2b_tension_vf1</t>
        </is>
      </c>
      <c r="B217" s="2" t="n">
        <v>1</v>
      </c>
      <c r="C217" s="2" t="n">
        <v>0.0068636</v>
      </c>
      <c r="D217" s="2" t="n">
        <v>3.95608</v>
      </c>
      <c r="E217" s="2" t="inlineStr">
        <is>
          <t>mm/mm</t>
        </is>
      </c>
      <c r="F217" s="2" t="inlineStr">
        <is>
          <t>MPa</t>
        </is>
      </c>
      <c r="G217" s="2" t="inlineStr">
        <is>
          <t>FIGURE_DIGITIZED_APPROX</t>
        </is>
      </c>
      <c r="H217" s="2" t="inlineStr">
        <is>
          <t>Figure2 p6</t>
        </is>
      </c>
      <c r="I217" s="2" t="inlineStr">
        <is>
          <t>No batch assignment for 2%; no local fracture conversion</t>
        </is>
      </c>
    </row>
    <row r="218">
      <c r="A218" s="2" t="inlineStr">
        <is>
          <t>fig2b_tension_vf1</t>
        </is>
      </c>
      <c r="B218" s="2" t="n">
        <v>1</v>
      </c>
      <c r="C218" s="2" t="n">
        <v>0.0069551</v>
      </c>
      <c r="D218" s="2" t="n">
        <v>3.85791</v>
      </c>
      <c r="E218" s="2" t="inlineStr">
        <is>
          <t>mm/mm</t>
        </is>
      </c>
      <c r="F218" s="2" t="inlineStr">
        <is>
          <t>MPa</t>
        </is>
      </c>
      <c r="G218" s="2" t="inlineStr">
        <is>
          <t>FIGURE_DIGITIZED_APPROX</t>
        </is>
      </c>
      <c r="H218" s="2" t="inlineStr">
        <is>
          <t>Figure2 p6</t>
        </is>
      </c>
      <c r="I218" s="2" t="inlineStr">
        <is>
          <t>No batch assignment for 2%; no local fracture conversion</t>
        </is>
      </c>
    </row>
    <row r="219">
      <c r="A219" s="2" t="inlineStr">
        <is>
          <t>fig2b_tension_vf1</t>
        </is>
      </c>
      <c r="B219" s="2" t="n">
        <v>1</v>
      </c>
      <c r="C219" s="2" t="n">
        <v>0.0070466</v>
      </c>
      <c r="D219" s="2" t="n">
        <v>3.83561</v>
      </c>
      <c r="E219" s="2" t="inlineStr">
        <is>
          <t>mm/mm</t>
        </is>
      </c>
      <c r="F219" s="2" t="inlineStr">
        <is>
          <t>MPa</t>
        </is>
      </c>
      <c r="G219" s="2" t="inlineStr">
        <is>
          <t>FIGURE_DIGITIZED_APPROX</t>
        </is>
      </c>
      <c r="H219" s="2" t="inlineStr">
        <is>
          <t>Figure2 p6</t>
        </is>
      </c>
      <c r="I219" s="2" t="inlineStr">
        <is>
          <t>No batch assignment for 2%; no local fracture conversion</t>
        </is>
      </c>
    </row>
    <row r="220">
      <c r="A220" s="2" t="inlineStr">
        <is>
          <t>fig2b_tension_vf1</t>
        </is>
      </c>
      <c r="B220" s="2" t="n">
        <v>1</v>
      </c>
      <c r="C220" s="2" t="n">
        <v>0.0071381</v>
      </c>
      <c r="D220" s="2" t="n">
        <v>3.71054</v>
      </c>
      <c r="E220" s="2" t="inlineStr">
        <is>
          <t>mm/mm</t>
        </is>
      </c>
      <c r="F220" s="2" t="inlineStr">
        <is>
          <t>MPa</t>
        </is>
      </c>
      <c r="G220" s="2" t="inlineStr">
        <is>
          <t>FIGURE_DIGITIZED_APPROX</t>
        </is>
      </c>
      <c r="H220" s="2" t="inlineStr">
        <is>
          <t>Figure2 p6</t>
        </is>
      </c>
      <c r="I220" s="2" t="inlineStr">
        <is>
          <t>No batch assignment for 2%; no local fracture conversion</t>
        </is>
      </c>
    </row>
    <row r="221">
      <c r="A221" s="2" t="inlineStr">
        <is>
          <t>fig2b_tension_vf1</t>
        </is>
      </c>
      <c r="B221" s="2" t="n">
        <v>1</v>
      </c>
      <c r="C221" s="2" t="n">
        <v>0.0072296</v>
      </c>
      <c r="D221" s="2" t="n">
        <v>3.70819</v>
      </c>
      <c r="E221" s="2" t="inlineStr">
        <is>
          <t>mm/mm</t>
        </is>
      </c>
      <c r="F221" s="2" t="inlineStr">
        <is>
          <t>MPa</t>
        </is>
      </c>
      <c r="G221" s="2" t="inlineStr">
        <is>
          <t>FIGURE_DIGITIZED_APPROX</t>
        </is>
      </c>
      <c r="H221" s="2" t="inlineStr">
        <is>
          <t>Figure2 p6</t>
        </is>
      </c>
      <c r="I221" s="2" t="inlineStr">
        <is>
          <t>No batch assignment for 2%; no local fracture conversion</t>
        </is>
      </c>
    </row>
    <row r="222">
      <c r="A222" s="2" t="inlineStr">
        <is>
          <t>fig2b_tension_vf2</t>
        </is>
      </c>
      <c r="B222" s="2" t="n">
        <v>2</v>
      </c>
      <c r="C222" s="2" t="n">
        <v>0</v>
      </c>
      <c r="D222" s="2" t="n">
        <v>0</v>
      </c>
      <c r="E222" s="2" t="inlineStr">
        <is>
          <t>mm/mm</t>
        </is>
      </c>
      <c r="F222" s="2" t="inlineStr">
        <is>
          <t>MPa</t>
        </is>
      </c>
      <c r="G222" s="2" t="inlineStr">
        <is>
          <t>FIGURE_DIGITIZED_APPROX</t>
        </is>
      </c>
      <c r="H222" s="2" t="inlineStr">
        <is>
          <t>Figure2 p6</t>
        </is>
      </c>
      <c r="I222" s="2" t="inlineStr">
        <is>
          <t>No batch assignment for 2%; no local fracture conversion</t>
        </is>
      </c>
    </row>
    <row r="223">
      <c r="A223" s="2" t="inlineStr">
        <is>
          <t>fig2b_tension_vf2</t>
        </is>
      </c>
      <c r="B223" s="2" t="n">
        <v>2</v>
      </c>
      <c r="C223" s="2" t="n">
        <v>0.0001263</v>
      </c>
      <c r="D223" s="2" t="n">
        <v>5.75925</v>
      </c>
      <c r="E223" s="2" t="inlineStr">
        <is>
          <t>mm/mm</t>
        </is>
      </c>
      <c r="F223" s="2" t="inlineStr">
        <is>
          <t>MPa</t>
        </is>
      </c>
      <c r="G223" s="2" t="inlineStr">
        <is>
          <t>FIGURE_DIGITIZED_APPROX</t>
        </is>
      </c>
      <c r="H223" s="2" t="inlineStr">
        <is>
          <t>Figure2 p6</t>
        </is>
      </c>
      <c r="I223" s="2" t="inlineStr">
        <is>
          <t>No batch assignment for 2%; no local fracture conversion</t>
        </is>
      </c>
    </row>
    <row r="224">
      <c r="A224" s="2" t="inlineStr">
        <is>
          <t>fig2b_tension_vf2</t>
        </is>
      </c>
      <c r="B224" s="2" t="n">
        <v>2</v>
      </c>
      <c r="C224" s="2" t="n">
        <v>0.0002527</v>
      </c>
      <c r="D224" s="2" t="n">
        <v>6.97095</v>
      </c>
      <c r="E224" s="2" t="inlineStr">
        <is>
          <t>mm/mm</t>
        </is>
      </c>
      <c r="F224" s="2" t="inlineStr">
        <is>
          <t>MPa</t>
        </is>
      </c>
      <c r="G224" s="2" t="inlineStr">
        <is>
          <t>FIGURE_DIGITIZED_APPROX</t>
        </is>
      </c>
      <c r="H224" s="2" t="inlineStr">
        <is>
          <t>Figure2 p6</t>
        </is>
      </c>
      <c r="I224" s="2" t="inlineStr">
        <is>
          <t>No batch assignment for 2%; no local fracture conversion</t>
        </is>
      </c>
    </row>
    <row r="225">
      <c r="A225" s="2" t="inlineStr">
        <is>
          <t>fig2b_tension_vf2</t>
        </is>
      </c>
      <c r="B225" s="2" t="n">
        <v>2</v>
      </c>
      <c r="C225" s="2" t="n">
        <v>0.000379</v>
      </c>
      <c r="D225" s="2" t="n">
        <v>8.01191</v>
      </c>
      <c r="E225" s="2" t="inlineStr">
        <is>
          <t>mm/mm</t>
        </is>
      </c>
      <c r="F225" s="2" t="inlineStr">
        <is>
          <t>MPa</t>
        </is>
      </c>
      <c r="G225" s="2" t="inlineStr">
        <is>
          <t>FIGURE_DIGITIZED_APPROX</t>
        </is>
      </c>
      <c r="H225" s="2" t="inlineStr">
        <is>
          <t>Figure2 p6</t>
        </is>
      </c>
      <c r="I225" s="2" t="inlineStr">
        <is>
          <t>No batch assignment for 2%; no local fracture conversion</t>
        </is>
      </c>
    </row>
    <row r="226">
      <c r="A226" s="2" t="inlineStr">
        <is>
          <t>fig2b_tension_vf2</t>
        </is>
      </c>
      <c r="B226" s="2" t="n">
        <v>2</v>
      </c>
      <c r="C226" s="2" t="n">
        <v>0.0005054</v>
      </c>
      <c r="D226" s="2" t="n">
        <v>8.338229999999999</v>
      </c>
      <c r="E226" s="2" t="inlineStr">
        <is>
          <t>mm/mm</t>
        </is>
      </c>
      <c r="F226" s="2" t="inlineStr">
        <is>
          <t>MPa</t>
        </is>
      </c>
      <c r="G226" s="2" t="inlineStr">
        <is>
          <t>FIGURE_DIGITIZED_APPROX</t>
        </is>
      </c>
      <c r="H226" s="2" t="inlineStr">
        <is>
          <t>Figure2 p6</t>
        </is>
      </c>
      <c r="I226" s="2" t="inlineStr">
        <is>
          <t>No batch assignment for 2%; no local fracture conversion</t>
        </is>
      </c>
    </row>
    <row r="227">
      <c r="A227" s="2" t="inlineStr">
        <is>
          <t>fig2b_tension_vf2</t>
        </is>
      </c>
      <c r="B227" s="2" t="n">
        <v>2</v>
      </c>
      <c r="C227" s="2" t="n">
        <v>0.0006317</v>
      </c>
      <c r="D227" s="2" t="n">
        <v>8.584949999999999</v>
      </c>
      <c r="E227" s="2" t="inlineStr">
        <is>
          <t>mm/mm</t>
        </is>
      </c>
      <c r="F227" s="2" t="inlineStr">
        <is>
          <t>MPa</t>
        </is>
      </c>
      <c r="G227" s="2" t="inlineStr">
        <is>
          <t>FIGURE_DIGITIZED_APPROX</t>
        </is>
      </c>
      <c r="H227" s="2" t="inlineStr">
        <is>
          <t>Figure2 p6</t>
        </is>
      </c>
      <c r="I227" s="2" t="inlineStr">
        <is>
          <t>No batch assignment for 2%; no local fracture conversion</t>
        </is>
      </c>
    </row>
    <row r="228">
      <c r="A228" s="2" t="inlineStr">
        <is>
          <t>fig2b_tension_vf2</t>
        </is>
      </c>
      <c r="B228" s="2" t="n">
        <v>2</v>
      </c>
      <c r="C228" s="2" t="n">
        <v>0.0007581</v>
      </c>
      <c r="D228" s="2" t="n">
        <v>8.9452</v>
      </c>
      <c r="E228" s="2" t="inlineStr">
        <is>
          <t>mm/mm</t>
        </is>
      </c>
      <c r="F228" s="2" t="inlineStr">
        <is>
          <t>MPa</t>
        </is>
      </c>
      <c r="G228" s="2" t="inlineStr">
        <is>
          <t>FIGURE_DIGITIZED_APPROX</t>
        </is>
      </c>
      <c r="H228" s="2" t="inlineStr">
        <is>
          <t>Figure2 p6</t>
        </is>
      </c>
      <c r="I228" s="2" t="inlineStr">
        <is>
          <t>No batch assignment for 2%; no local fracture conversion</t>
        </is>
      </c>
    </row>
    <row r="229">
      <c r="A229" s="2" t="inlineStr">
        <is>
          <t>fig2b_tension_vf2</t>
        </is>
      </c>
      <c r="B229" s="2" t="n">
        <v>2</v>
      </c>
      <c r="C229" s="2" t="n">
        <v>0.0008844</v>
      </c>
      <c r="D229" s="2" t="n">
        <v>9.08034</v>
      </c>
      <c r="E229" s="2" t="inlineStr">
        <is>
          <t>mm/mm</t>
        </is>
      </c>
      <c r="F229" s="2" t="inlineStr">
        <is>
          <t>MPa</t>
        </is>
      </c>
      <c r="G229" s="2" t="inlineStr">
        <is>
          <t>FIGURE_DIGITIZED_APPROX</t>
        </is>
      </c>
      <c r="H229" s="2" t="inlineStr">
        <is>
          <t>Figure2 p6</t>
        </is>
      </c>
      <c r="I229" s="2" t="inlineStr">
        <is>
          <t>No batch assignment for 2%; no local fracture conversion</t>
        </is>
      </c>
    </row>
    <row r="230">
      <c r="A230" s="2" t="inlineStr">
        <is>
          <t>fig2b_tension_vf2</t>
        </is>
      </c>
      <c r="B230" s="2" t="n">
        <v>2</v>
      </c>
      <c r="C230" s="2" t="n">
        <v>0.0010107</v>
      </c>
      <c r="D230" s="2" t="n">
        <v>9.30311</v>
      </c>
      <c r="E230" s="2" t="inlineStr">
        <is>
          <t>mm/mm</t>
        </is>
      </c>
      <c r="F230" s="2" t="inlineStr">
        <is>
          <t>MPa</t>
        </is>
      </c>
      <c r="G230" s="2" t="inlineStr">
        <is>
          <t>FIGURE_DIGITIZED_APPROX</t>
        </is>
      </c>
      <c r="H230" s="2" t="inlineStr">
        <is>
          <t>Figure2 p6</t>
        </is>
      </c>
      <c r="I230" s="2" t="inlineStr">
        <is>
          <t>No batch assignment for 2%; no local fracture conversion</t>
        </is>
      </c>
    </row>
    <row r="231">
      <c r="A231" s="2" t="inlineStr">
        <is>
          <t>fig2b_tension_vf2</t>
        </is>
      </c>
      <c r="B231" s="2" t="n">
        <v>2</v>
      </c>
      <c r="C231" s="2" t="n">
        <v>0.0011371</v>
      </c>
      <c r="D231" s="2" t="n">
        <v>9.402559999999999</v>
      </c>
      <c r="E231" s="2" t="inlineStr">
        <is>
          <t>mm/mm</t>
        </is>
      </c>
      <c r="F231" s="2" t="inlineStr">
        <is>
          <t>MPa</t>
        </is>
      </c>
      <c r="G231" s="2" t="inlineStr">
        <is>
          <t>FIGURE_DIGITIZED_APPROX</t>
        </is>
      </c>
      <c r="H231" s="2" t="inlineStr">
        <is>
          <t>Figure2 p6</t>
        </is>
      </c>
      <c r="I231" s="2" t="inlineStr">
        <is>
          <t>No batch assignment for 2%; no local fracture conversion</t>
        </is>
      </c>
    </row>
    <row r="232">
      <c r="A232" s="2" t="inlineStr">
        <is>
          <t>fig2b_tension_vf2</t>
        </is>
      </c>
      <c r="B232" s="2" t="n">
        <v>2</v>
      </c>
      <c r="C232" s="2" t="n">
        <v>0.0012634</v>
      </c>
      <c r="D232" s="2" t="n">
        <v>9.455170000000001</v>
      </c>
      <c r="E232" s="2" t="inlineStr">
        <is>
          <t>mm/mm</t>
        </is>
      </c>
      <c r="F232" s="2" t="inlineStr">
        <is>
          <t>MPa</t>
        </is>
      </c>
      <c r="G232" s="2" t="inlineStr">
        <is>
          <t>FIGURE_DIGITIZED_APPROX</t>
        </is>
      </c>
      <c r="H232" s="2" t="inlineStr">
        <is>
          <t>Figure2 p6</t>
        </is>
      </c>
      <c r="I232" s="2" t="inlineStr">
        <is>
          <t>No batch assignment for 2%; no local fracture conversion</t>
        </is>
      </c>
    </row>
    <row r="233">
      <c r="A233" s="2" t="inlineStr">
        <is>
          <t>fig2b_tension_vf2</t>
        </is>
      </c>
      <c r="B233" s="2" t="n">
        <v>2</v>
      </c>
      <c r="C233" s="2" t="n">
        <v>0.0013898</v>
      </c>
      <c r="D233" s="2" t="n">
        <v>9.526450000000001</v>
      </c>
      <c r="E233" s="2" t="inlineStr">
        <is>
          <t>mm/mm</t>
        </is>
      </c>
      <c r="F233" s="2" t="inlineStr">
        <is>
          <t>MPa</t>
        </is>
      </c>
      <c r="G233" s="2" t="inlineStr">
        <is>
          <t>FIGURE_DIGITIZED_APPROX</t>
        </is>
      </c>
      <c r="H233" s="2" t="inlineStr">
        <is>
          <t>Figure2 p6</t>
        </is>
      </c>
      <c r="I233" s="2" t="inlineStr">
        <is>
          <t>No batch assignment for 2%; no local fracture conversion</t>
        </is>
      </c>
    </row>
    <row r="234">
      <c r="A234" s="2" t="inlineStr">
        <is>
          <t>fig2b_tension_vf2</t>
        </is>
      </c>
      <c r="B234" s="2" t="n">
        <v>2</v>
      </c>
      <c r="C234" s="2" t="n">
        <v>0.0015161</v>
      </c>
      <c r="D234" s="2" t="n">
        <v>9.648099999999999</v>
      </c>
      <c r="E234" s="2" t="inlineStr">
        <is>
          <t>mm/mm</t>
        </is>
      </c>
      <c r="F234" s="2" t="inlineStr">
        <is>
          <t>MPa</t>
        </is>
      </c>
      <c r="G234" s="2" t="inlineStr">
        <is>
          <t>FIGURE_DIGITIZED_APPROX</t>
        </is>
      </c>
      <c r="H234" s="2" t="inlineStr">
        <is>
          <t>Figure2 p6</t>
        </is>
      </c>
      <c r="I234" s="2" t="inlineStr">
        <is>
          <t>No batch assignment for 2%; no local fracture conversion</t>
        </is>
      </c>
    </row>
    <row r="235">
      <c r="A235" s="2" t="inlineStr">
        <is>
          <t>fig2b_tension_vf2</t>
        </is>
      </c>
      <c r="B235" s="2" t="n">
        <v>2</v>
      </c>
      <c r="C235" s="2" t="n">
        <v>0.0016425</v>
      </c>
      <c r="D235" s="2" t="n">
        <v>9.696120000000001</v>
      </c>
      <c r="E235" s="2" t="inlineStr">
        <is>
          <t>mm/mm</t>
        </is>
      </c>
      <c r="F235" s="2" t="inlineStr">
        <is>
          <t>MPa</t>
        </is>
      </c>
      <c r="G235" s="2" t="inlineStr">
        <is>
          <t>FIGURE_DIGITIZED_APPROX</t>
        </is>
      </c>
      <c r="H235" s="2" t="inlineStr">
        <is>
          <t>Figure2 p6</t>
        </is>
      </c>
      <c r="I235" s="2" t="inlineStr">
        <is>
          <t>No batch assignment for 2%; no local fracture conversion</t>
        </is>
      </c>
    </row>
    <row r="236">
      <c r="A236" s="2" t="inlineStr">
        <is>
          <t>fig2b_tension_vf2</t>
        </is>
      </c>
      <c r="B236" s="2" t="n">
        <v>2</v>
      </c>
      <c r="C236" s="2" t="n">
        <v>0.0017688</v>
      </c>
      <c r="D236" s="2" t="n">
        <v>9.70668</v>
      </c>
      <c r="E236" s="2" t="inlineStr">
        <is>
          <t>mm/mm</t>
        </is>
      </c>
      <c r="F236" s="2" t="inlineStr">
        <is>
          <t>MPa</t>
        </is>
      </c>
      <c r="G236" s="2" t="inlineStr">
        <is>
          <t>FIGURE_DIGITIZED_APPROX</t>
        </is>
      </c>
      <c r="H236" s="2" t="inlineStr">
        <is>
          <t>Figure2 p6</t>
        </is>
      </c>
      <c r="I236" s="2" t="inlineStr">
        <is>
          <t>No batch assignment for 2%; no local fracture conversion</t>
        </is>
      </c>
    </row>
    <row r="237">
      <c r="A237" s="2" t="inlineStr">
        <is>
          <t>fig2b_tension_vf2</t>
        </is>
      </c>
      <c r="B237" s="2" t="n">
        <v>2</v>
      </c>
      <c r="C237" s="2" t="n">
        <v>0.0018951</v>
      </c>
      <c r="D237" s="2" t="n">
        <v>9.74178</v>
      </c>
      <c r="E237" s="2" t="inlineStr">
        <is>
          <t>mm/mm</t>
        </is>
      </c>
      <c r="F237" s="2" t="inlineStr">
        <is>
          <t>MPa</t>
        </is>
      </c>
      <c r="G237" s="2" t="inlineStr">
        <is>
          <t>FIGURE_DIGITIZED_APPROX</t>
        </is>
      </c>
      <c r="H237" s="2" t="inlineStr">
        <is>
          <t>Figure2 p6</t>
        </is>
      </c>
      <c r="I237" s="2" t="inlineStr">
        <is>
          <t>No batch assignment for 2%; no local fracture conversion</t>
        </is>
      </c>
    </row>
    <row r="238">
      <c r="A238" s="2" t="inlineStr">
        <is>
          <t>fig2b_tension_vf2</t>
        </is>
      </c>
      <c r="B238" s="2" t="n">
        <v>2</v>
      </c>
      <c r="C238" s="2" t="n">
        <v>0.0020215</v>
      </c>
      <c r="D238" s="2" t="n">
        <v>9.707750000000001</v>
      </c>
      <c r="E238" s="2" t="inlineStr">
        <is>
          <t>mm/mm</t>
        </is>
      </c>
      <c r="F238" s="2" t="inlineStr">
        <is>
          <t>MPa</t>
        </is>
      </c>
      <c r="G238" s="2" t="inlineStr">
        <is>
          <t>FIGURE_DIGITIZED_APPROX</t>
        </is>
      </c>
      <c r="H238" s="2" t="inlineStr">
        <is>
          <t>Figure2 p6</t>
        </is>
      </c>
      <c r="I238" s="2" t="inlineStr">
        <is>
          <t>No batch assignment for 2%; no local fracture conversion</t>
        </is>
      </c>
    </row>
    <row r="239">
      <c r="A239" s="2" t="inlineStr">
        <is>
          <t>fig2b_tension_vf2</t>
        </is>
      </c>
      <c r="B239" s="2" t="n">
        <v>2</v>
      </c>
      <c r="C239" s="2" t="n">
        <v>0.0021478</v>
      </c>
      <c r="D239" s="2" t="n">
        <v>9.683210000000001</v>
      </c>
      <c r="E239" s="2" t="inlineStr">
        <is>
          <t>mm/mm</t>
        </is>
      </c>
      <c r="F239" s="2" t="inlineStr">
        <is>
          <t>MPa</t>
        </is>
      </c>
      <c r="G239" s="2" t="inlineStr">
        <is>
          <t>FIGURE_DIGITIZED_APPROX</t>
        </is>
      </c>
      <c r="H239" s="2" t="inlineStr">
        <is>
          <t>Figure2 p6</t>
        </is>
      </c>
      <c r="I239" s="2" t="inlineStr">
        <is>
          <t>No batch assignment for 2%; no local fracture conversion</t>
        </is>
      </c>
    </row>
    <row r="240">
      <c r="A240" s="2" t="inlineStr">
        <is>
          <t>fig2b_tension_vf2</t>
        </is>
      </c>
      <c r="B240" s="2" t="n">
        <v>2</v>
      </c>
      <c r="C240" s="2" t="n">
        <v>0.0022742</v>
      </c>
      <c r="D240" s="2" t="n">
        <v>9.652799999999999</v>
      </c>
      <c r="E240" s="2" t="inlineStr">
        <is>
          <t>mm/mm</t>
        </is>
      </c>
      <c r="F240" s="2" t="inlineStr">
        <is>
          <t>MPa</t>
        </is>
      </c>
      <c r="G240" s="2" t="inlineStr">
        <is>
          <t>FIGURE_DIGITIZED_APPROX</t>
        </is>
      </c>
      <c r="H240" s="2" t="inlineStr">
        <is>
          <t>Figure2 p6</t>
        </is>
      </c>
      <c r="I240" s="2" t="inlineStr">
        <is>
          <t>No batch assignment for 2%; no local fracture conversion</t>
        </is>
      </c>
    </row>
    <row r="241">
      <c r="A241" s="2" t="inlineStr">
        <is>
          <t>fig2b_tension_vf2</t>
        </is>
      </c>
      <c r="B241" s="2" t="n">
        <v>2</v>
      </c>
      <c r="C241" s="2" t="n">
        <v>0.0024005</v>
      </c>
      <c r="D241" s="2" t="n">
        <v>9.672750000000001</v>
      </c>
      <c r="E241" s="2" t="inlineStr">
        <is>
          <t>mm/mm</t>
        </is>
      </c>
      <c r="F241" s="2" t="inlineStr">
        <is>
          <t>MPa</t>
        </is>
      </c>
      <c r="G241" s="2" t="inlineStr">
        <is>
          <t>FIGURE_DIGITIZED_APPROX</t>
        </is>
      </c>
      <c r="H241" s="2" t="inlineStr">
        <is>
          <t>Figure2 p6</t>
        </is>
      </c>
      <c r="I241" s="2" t="inlineStr">
        <is>
          <t>No batch assignment for 2%; no local fracture conversion</t>
        </is>
      </c>
    </row>
    <row r="242">
      <c r="A242" s="2" t="inlineStr">
        <is>
          <t>fig2b_tension_vf2</t>
        </is>
      </c>
      <c r="B242" s="2" t="n">
        <v>2</v>
      </c>
      <c r="C242" s="2" t="n">
        <v>0.0025268</v>
      </c>
      <c r="D242" s="2" t="n">
        <v>9.7499</v>
      </c>
      <c r="E242" s="2" t="inlineStr">
        <is>
          <t>mm/mm</t>
        </is>
      </c>
      <c r="F242" s="2" t="inlineStr">
        <is>
          <t>MPa</t>
        </is>
      </c>
      <c r="G242" s="2" t="inlineStr">
        <is>
          <t>FIGURE_DIGITIZED_APPROX</t>
        </is>
      </c>
      <c r="H242" s="2" t="inlineStr">
        <is>
          <t>Figure2 p6</t>
        </is>
      </c>
      <c r="I242" s="2" t="inlineStr">
        <is>
          <t>No batch assignment for 2%; no local fracture conversion</t>
        </is>
      </c>
    </row>
    <row r="243">
      <c r="A243" s="2" t="inlineStr">
        <is>
          <t>fig2b_tension_vf2</t>
        </is>
      </c>
      <c r="B243" s="2" t="n">
        <v>2</v>
      </c>
      <c r="C243" s="2" t="n">
        <v>0.0026532</v>
      </c>
      <c r="D243" s="2" t="n">
        <v>9.77797</v>
      </c>
      <c r="E243" s="2" t="inlineStr">
        <is>
          <t>mm/mm</t>
        </is>
      </c>
      <c r="F243" s="2" t="inlineStr">
        <is>
          <t>MPa</t>
        </is>
      </c>
      <c r="G243" s="2" t="inlineStr">
        <is>
          <t>FIGURE_DIGITIZED_APPROX</t>
        </is>
      </c>
      <c r="H243" s="2" t="inlineStr">
        <is>
          <t>Figure2 p6</t>
        </is>
      </c>
      <c r="I243" s="2" t="inlineStr">
        <is>
          <t>No batch assignment for 2%; no local fracture conversion</t>
        </is>
      </c>
    </row>
    <row r="244">
      <c r="A244" s="2" t="inlineStr">
        <is>
          <t>fig2b_tension_vf2</t>
        </is>
      </c>
      <c r="B244" s="2" t="n">
        <v>2</v>
      </c>
      <c r="C244" s="2" t="n">
        <v>0.0027795</v>
      </c>
      <c r="D244" s="2" t="n">
        <v>9.932370000000001</v>
      </c>
      <c r="E244" s="2" t="inlineStr">
        <is>
          <t>mm/mm</t>
        </is>
      </c>
      <c r="F244" s="2" t="inlineStr">
        <is>
          <t>MPa</t>
        </is>
      </c>
      <c r="G244" s="2" t="inlineStr">
        <is>
          <t>FIGURE_DIGITIZED_APPROX</t>
        </is>
      </c>
      <c r="H244" s="2" t="inlineStr">
        <is>
          <t>Figure2 p6</t>
        </is>
      </c>
      <c r="I244" s="2" t="inlineStr">
        <is>
          <t>No batch assignment for 2%; no local fracture conversion</t>
        </is>
      </c>
    </row>
    <row r="245">
      <c r="A245" s="2" t="inlineStr">
        <is>
          <t>fig2b_tension_vf2</t>
        </is>
      </c>
      <c r="B245" s="2" t="n">
        <v>2</v>
      </c>
      <c r="C245" s="2" t="n">
        <v>0.0029059</v>
      </c>
      <c r="D245" s="2" t="n">
        <v>9.98733</v>
      </c>
      <c r="E245" s="2" t="inlineStr">
        <is>
          <t>mm/mm</t>
        </is>
      </c>
      <c r="F245" s="2" t="inlineStr">
        <is>
          <t>MPa</t>
        </is>
      </c>
      <c r="G245" s="2" t="inlineStr">
        <is>
          <t>FIGURE_DIGITIZED_APPROX</t>
        </is>
      </c>
      <c r="H245" s="2" t="inlineStr">
        <is>
          <t>Figure2 p6</t>
        </is>
      </c>
      <c r="I245" s="2" t="inlineStr">
        <is>
          <t>No batch assignment for 2%; no local fracture conversion</t>
        </is>
      </c>
    </row>
    <row r="246">
      <c r="A246" s="2" t="inlineStr">
        <is>
          <t>fig2b_tension_vf2</t>
        </is>
      </c>
      <c r="B246" s="2" t="n">
        <v>2</v>
      </c>
      <c r="C246" s="2" t="n">
        <v>0.0030322</v>
      </c>
      <c r="D246" s="2" t="n">
        <v>10.03759</v>
      </c>
      <c r="E246" s="2" t="inlineStr">
        <is>
          <t>mm/mm</t>
        </is>
      </c>
      <c r="F246" s="2" t="inlineStr">
        <is>
          <t>MPa</t>
        </is>
      </c>
      <c r="G246" s="2" t="inlineStr">
        <is>
          <t>FIGURE_DIGITIZED_APPROX</t>
        </is>
      </c>
      <c r="H246" s="2" t="inlineStr">
        <is>
          <t>Figure2 p6</t>
        </is>
      </c>
      <c r="I246" s="2" t="inlineStr">
        <is>
          <t>No batch assignment for 2%; no local fracture conversion</t>
        </is>
      </c>
    </row>
    <row r="247">
      <c r="A247" s="2" t="inlineStr">
        <is>
          <t>fig2b_tension_vf2</t>
        </is>
      </c>
      <c r="B247" s="2" t="n">
        <v>2</v>
      </c>
      <c r="C247" s="2" t="n">
        <v>0.0031586</v>
      </c>
      <c r="D247" s="2" t="n">
        <v>10.07387</v>
      </c>
      <c r="E247" s="2" t="inlineStr">
        <is>
          <t>mm/mm</t>
        </is>
      </c>
      <c r="F247" s="2" t="inlineStr">
        <is>
          <t>MPa</t>
        </is>
      </c>
      <c r="G247" s="2" t="inlineStr">
        <is>
          <t>FIGURE_DIGITIZED_APPROX</t>
        </is>
      </c>
      <c r="H247" s="2" t="inlineStr">
        <is>
          <t>Figure2 p6</t>
        </is>
      </c>
      <c r="I247" s="2" t="inlineStr">
        <is>
          <t>No batch assignment for 2%; no local fracture conversion</t>
        </is>
      </c>
    </row>
    <row r="248">
      <c r="A248" s="2" t="inlineStr">
        <is>
          <t>fig2b_tension_vf2</t>
        </is>
      </c>
      <c r="B248" s="2" t="n">
        <v>2</v>
      </c>
      <c r="C248" s="2" t="n">
        <v>0.0032849</v>
      </c>
      <c r="D248" s="2" t="n">
        <v>9.98029</v>
      </c>
      <c r="E248" s="2" t="inlineStr">
        <is>
          <t>mm/mm</t>
        </is>
      </c>
      <c r="F248" s="2" t="inlineStr">
        <is>
          <t>MPa</t>
        </is>
      </c>
      <c r="G248" s="2" t="inlineStr">
        <is>
          <t>FIGURE_DIGITIZED_APPROX</t>
        </is>
      </c>
      <c r="H248" s="2" t="inlineStr">
        <is>
          <t>Figure2 p6</t>
        </is>
      </c>
      <c r="I248" s="2" t="inlineStr">
        <is>
          <t>No batch assignment for 2%; no local fracture conversion</t>
        </is>
      </c>
    </row>
    <row r="249">
      <c r="A249" s="2" t="inlineStr">
        <is>
          <t>fig2b_tension_vf2</t>
        </is>
      </c>
      <c r="B249" s="2" t="n">
        <v>2</v>
      </c>
      <c r="C249" s="2" t="n">
        <v>0.0034112</v>
      </c>
      <c r="D249" s="2" t="n">
        <v>10.00836</v>
      </c>
      <c r="E249" s="2" t="inlineStr">
        <is>
          <t>mm/mm</t>
        </is>
      </c>
      <c r="F249" s="2" t="inlineStr">
        <is>
          <t>MPa</t>
        </is>
      </c>
      <c r="G249" s="2" t="inlineStr">
        <is>
          <t>FIGURE_DIGITIZED_APPROX</t>
        </is>
      </c>
      <c r="H249" s="2" t="inlineStr">
        <is>
          <t>Figure2 p6</t>
        </is>
      </c>
      <c r="I249" s="2" t="inlineStr">
        <is>
          <t>No batch assignment for 2%; no local fracture conversion</t>
        </is>
      </c>
    </row>
    <row r="250">
      <c r="A250" s="2" t="inlineStr">
        <is>
          <t>fig2b_tension_vf2</t>
        </is>
      </c>
      <c r="B250" s="2" t="n">
        <v>2</v>
      </c>
      <c r="C250" s="2" t="n">
        <v>0.0035376</v>
      </c>
      <c r="D250" s="2" t="n">
        <v>10.03759</v>
      </c>
      <c r="E250" s="2" t="inlineStr">
        <is>
          <t>mm/mm</t>
        </is>
      </c>
      <c r="F250" s="2" t="inlineStr">
        <is>
          <t>MPa</t>
        </is>
      </c>
      <c r="G250" s="2" t="inlineStr">
        <is>
          <t>FIGURE_DIGITIZED_APPROX</t>
        </is>
      </c>
      <c r="H250" s="2" t="inlineStr">
        <is>
          <t>Figure2 p6</t>
        </is>
      </c>
      <c r="I250" s="2" t="inlineStr">
        <is>
          <t>No batch assignment for 2%; no local fracture conversion</t>
        </is>
      </c>
    </row>
    <row r="251">
      <c r="A251" s="2" t="inlineStr">
        <is>
          <t>fig2b_tension_vf2</t>
        </is>
      </c>
      <c r="B251" s="2" t="n">
        <v>2</v>
      </c>
      <c r="C251" s="2" t="n">
        <v>0.0036639</v>
      </c>
      <c r="D251" s="2" t="n">
        <v>10.09607</v>
      </c>
      <c r="E251" s="2" t="inlineStr">
        <is>
          <t>mm/mm</t>
        </is>
      </c>
      <c r="F251" s="2" t="inlineStr">
        <is>
          <t>MPa</t>
        </is>
      </c>
      <c r="G251" s="2" t="inlineStr">
        <is>
          <t>FIGURE_DIGITIZED_APPROX</t>
        </is>
      </c>
      <c r="H251" s="2" t="inlineStr">
        <is>
          <t>Figure2 p6</t>
        </is>
      </c>
      <c r="I251" s="2" t="inlineStr">
        <is>
          <t>No batch assignment for 2%; no local fracture conversion</t>
        </is>
      </c>
    </row>
    <row r="252">
      <c r="A252" s="2" t="inlineStr">
        <is>
          <t>fig2b_tension_vf2</t>
        </is>
      </c>
      <c r="B252" s="2" t="n">
        <v>2</v>
      </c>
      <c r="C252" s="2" t="n">
        <v>0.0037903</v>
      </c>
      <c r="D252" s="2" t="n">
        <v>10.19787</v>
      </c>
      <c r="E252" s="2" t="inlineStr">
        <is>
          <t>mm/mm</t>
        </is>
      </c>
      <c r="F252" s="2" t="inlineStr">
        <is>
          <t>MPa</t>
        </is>
      </c>
      <c r="G252" s="2" t="inlineStr">
        <is>
          <t>FIGURE_DIGITIZED_APPROX</t>
        </is>
      </c>
      <c r="H252" s="2" t="inlineStr">
        <is>
          <t>Figure2 p6</t>
        </is>
      </c>
      <c r="I252" s="2" t="inlineStr">
        <is>
          <t>No batch assignment for 2%; no local fracture conversion</t>
        </is>
      </c>
    </row>
    <row r="253">
      <c r="A253" s="2" t="inlineStr">
        <is>
          <t>fig2b_tension_vf2</t>
        </is>
      </c>
      <c r="B253" s="2" t="n">
        <v>2</v>
      </c>
      <c r="C253" s="2" t="n">
        <v>0.0039166</v>
      </c>
      <c r="D253" s="2" t="n">
        <v>10.25987</v>
      </c>
      <c r="E253" s="2" t="inlineStr">
        <is>
          <t>mm/mm</t>
        </is>
      </c>
      <c r="F253" s="2" t="inlineStr">
        <is>
          <t>MPa</t>
        </is>
      </c>
      <c r="G253" s="2" t="inlineStr">
        <is>
          <t>FIGURE_DIGITIZED_APPROX</t>
        </is>
      </c>
      <c r="H253" s="2" t="inlineStr">
        <is>
          <t>Figure2 p6</t>
        </is>
      </c>
      <c r="I253" s="2" t="inlineStr">
        <is>
          <t>No batch assignment for 2%; no local fracture conversion</t>
        </is>
      </c>
    </row>
    <row r="254">
      <c r="A254" s="2" t="inlineStr">
        <is>
          <t>fig2b_tension_vf2</t>
        </is>
      </c>
      <c r="B254" s="2" t="n">
        <v>2</v>
      </c>
      <c r="C254" s="2" t="n">
        <v>0.004043</v>
      </c>
      <c r="D254" s="2" t="n">
        <v>10.26681</v>
      </c>
      <c r="E254" s="2" t="inlineStr">
        <is>
          <t>mm/mm</t>
        </is>
      </c>
      <c r="F254" s="2" t="inlineStr">
        <is>
          <t>MPa</t>
        </is>
      </c>
      <c r="G254" s="2" t="inlineStr">
        <is>
          <t>FIGURE_DIGITIZED_APPROX</t>
        </is>
      </c>
      <c r="H254" s="2" t="inlineStr">
        <is>
          <t>Figure2 p6</t>
        </is>
      </c>
      <c r="I254" s="2" t="inlineStr">
        <is>
          <t>No batch assignment for 2%; no local fracture conversion</t>
        </is>
      </c>
    </row>
    <row r="255">
      <c r="A255" s="2" t="inlineStr">
        <is>
          <t>fig2b_tension_vf2</t>
        </is>
      </c>
      <c r="B255" s="2" t="n">
        <v>2</v>
      </c>
      <c r="C255" s="2" t="n">
        <v>0.0041693</v>
      </c>
      <c r="D255" s="2" t="n">
        <v>10.22945</v>
      </c>
      <c r="E255" s="2" t="inlineStr">
        <is>
          <t>mm/mm</t>
        </is>
      </c>
      <c r="F255" s="2" t="inlineStr">
        <is>
          <t>MPa</t>
        </is>
      </c>
      <c r="G255" s="2" t="inlineStr">
        <is>
          <t>FIGURE_DIGITIZED_APPROX</t>
        </is>
      </c>
      <c r="H255" s="2" t="inlineStr">
        <is>
          <t>Figure2 p6</t>
        </is>
      </c>
      <c r="I255" s="2" t="inlineStr">
        <is>
          <t>No batch assignment for 2%; no local fracture conversion</t>
        </is>
      </c>
    </row>
    <row r="256">
      <c r="A256" s="2" t="inlineStr">
        <is>
          <t>fig2b_tension_vf2</t>
        </is>
      </c>
      <c r="B256" s="2" t="n">
        <v>2</v>
      </c>
      <c r="C256" s="2" t="n">
        <v>0.0042956</v>
      </c>
      <c r="D256" s="2" t="n">
        <v>10.33585</v>
      </c>
      <c r="E256" s="2" t="inlineStr">
        <is>
          <t>mm/mm</t>
        </is>
      </c>
      <c r="F256" s="2" t="inlineStr">
        <is>
          <t>MPa</t>
        </is>
      </c>
      <c r="G256" s="2" t="inlineStr">
        <is>
          <t>FIGURE_DIGITIZED_APPROX</t>
        </is>
      </c>
      <c r="H256" s="2" t="inlineStr">
        <is>
          <t>Figure2 p6</t>
        </is>
      </c>
      <c r="I256" s="2" t="inlineStr">
        <is>
          <t>No batch assignment for 2%; no local fracture conversion</t>
        </is>
      </c>
    </row>
    <row r="257">
      <c r="A257" s="2" t="inlineStr">
        <is>
          <t>fig2b_tension_vf2</t>
        </is>
      </c>
      <c r="B257" s="2" t="n">
        <v>2</v>
      </c>
      <c r="C257" s="2" t="n">
        <v>0.004422</v>
      </c>
      <c r="D257" s="2" t="n">
        <v>10.43061</v>
      </c>
      <c r="E257" s="2" t="inlineStr">
        <is>
          <t>mm/mm</t>
        </is>
      </c>
      <c r="F257" s="2" t="inlineStr">
        <is>
          <t>MPa</t>
        </is>
      </c>
      <c r="G257" s="2" t="inlineStr">
        <is>
          <t>FIGURE_DIGITIZED_APPROX</t>
        </is>
      </c>
      <c r="H257" s="2" t="inlineStr">
        <is>
          <t>Figure2 p6</t>
        </is>
      </c>
      <c r="I257" s="2" t="inlineStr">
        <is>
          <t>No batch assignment for 2%; no local fracture conversion</t>
        </is>
      </c>
    </row>
    <row r="258">
      <c r="A258" s="2" t="inlineStr">
        <is>
          <t>fig2b_tension_vf2</t>
        </is>
      </c>
      <c r="B258" s="2" t="n">
        <v>2</v>
      </c>
      <c r="C258" s="2" t="n">
        <v>0.0045483</v>
      </c>
      <c r="D258" s="2" t="n">
        <v>10.45398</v>
      </c>
      <c r="E258" s="2" t="inlineStr">
        <is>
          <t>mm/mm</t>
        </is>
      </c>
      <c r="F258" s="2" t="inlineStr">
        <is>
          <t>MPa</t>
        </is>
      </c>
      <c r="G258" s="2" t="inlineStr">
        <is>
          <t>FIGURE_DIGITIZED_APPROX</t>
        </is>
      </c>
      <c r="H258" s="2" t="inlineStr">
        <is>
          <t>Figure2 p6</t>
        </is>
      </c>
      <c r="I258" s="2" t="inlineStr">
        <is>
          <t>No batch assignment for 2%; no local fracture conversion</t>
        </is>
      </c>
    </row>
    <row r="259">
      <c r="A259" s="2" t="inlineStr">
        <is>
          <t>fig2b_tension_vf2</t>
        </is>
      </c>
      <c r="B259" s="2" t="n">
        <v>2</v>
      </c>
      <c r="C259" s="2" t="n">
        <v>0.0046747</v>
      </c>
      <c r="D259" s="2" t="n">
        <v>10.45632</v>
      </c>
      <c r="E259" s="2" t="inlineStr">
        <is>
          <t>mm/mm</t>
        </is>
      </c>
      <c r="F259" s="2" t="inlineStr">
        <is>
          <t>MPa</t>
        </is>
      </c>
      <c r="G259" s="2" t="inlineStr">
        <is>
          <t>FIGURE_DIGITIZED_APPROX</t>
        </is>
      </c>
      <c r="H259" s="2" t="inlineStr">
        <is>
          <t>Figure2 p6</t>
        </is>
      </c>
      <c r="I259" s="2" t="inlineStr">
        <is>
          <t>No batch assignment for 2%; no local fracture conversion</t>
        </is>
      </c>
    </row>
    <row r="260">
      <c r="A260" s="2" t="inlineStr">
        <is>
          <t>fig2b_tension_vf2</t>
        </is>
      </c>
      <c r="B260" s="2" t="n">
        <v>2</v>
      </c>
      <c r="C260" s="2" t="n">
        <v>0.004801</v>
      </c>
      <c r="D260" s="2" t="n">
        <v>10.43295</v>
      </c>
      <c r="E260" s="2" t="inlineStr">
        <is>
          <t>mm/mm</t>
        </is>
      </c>
      <c r="F260" s="2" t="inlineStr">
        <is>
          <t>MPa</t>
        </is>
      </c>
      <c r="G260" s="2" t="inlineStr">
        <is>
          <t>FIGURE_DIGITIZED_APPROX</t>
        </is>
      </c>
      <c r="H260" s="2" t="inlineStr">
        <is>
          <t>Figure2 p6</t>
        </is>
      </c>
      <c r="I260" s="2" t="inlineStr">
        <is>
          <t>No batch assignment for 2%; no local fracture conversion</t>
        </is>
      </c>
    </row>
    <row r="261">
      <c r="A261" s="2" t="inlineStr">
        <is>
          <t>fig2b_tension_vf2</t>
        </is>
      </c>
      <c r="B261" s="2" t="n">
        <v>2</v>
      </c>
      <c r="C261" s="2" t="n">
        <v>0.0049274</v>
      </c>
      <c r="D261" s="2" t="n">
        <v>10.39902</v>
      </c>
      <c r="E261" s="2" t="inlineStr">
        <is>
          <t>mm/mm</t>
        </is>
      </c>
      <c r="F261" s="2" t="inlineStr">
        <is>
          <t>MPa</t>
        </is>
      </c>
      <c r="G261" s="2" t="inlineStr">
        <is>
          <t>FIGURE_DIGITIZED_APPROX</t>
        </is>
      </c>
      <c r="H261" s="2" t="inlineStr">
        <is>
          <t>Figure2 p6</t>
        </is>
      </c>
      <c r="I261" s="2" t="inlineStr">
        <is>
          <t>No batch assignment for 2%; no local fracture conversion</t>
        </is>
      </c>
    </row>
    <row r="262">
      <c r="A262" s="2" t="inlineStr">
        <is>
          <t>fig2b_tension_vf2</t>
        </is>
      </c>
      <c r="B262" s="2" t="n">
        <v>2</v>
      </c>
      <c r="C262" s="2" t="n">
        <v>0.0050537</v>
      </c>
      <c r="D262" s="2" t="n">
        <v>10.31248</v>
      </c>
      <c r="E262" s="2" t="inlineStr">
        <is>
          <t>mm/mm</t>
        </is>
      </c>
      <c r="F262" s="2" t="inlineStr">
        <is>
          <t>MPa</t>
        </is>
      </c>
      <c r="G262" s="2" t="inlineStr">
        <is>
          <t>FIGURE_DIGITIZED_APPROX</t>
        </is>
      </c>
      <c r="H262" s="2" t="inlineStr">
        <is>
          <t>Figure2 p6</t>
        </is>
      </c>
      <c r="I262" s="2" t="inlineStr">
        <is>
          <t>No batch assignment for 2%; no local fracture conversion</t>
        </is>
      </c>
    </row>
    <row r="263">
      <c r="A263" s="2" t="inlineStr">
        <is>
          <t>fig2b_tension_vf2</t>
        </is>
      </c>
      <c r="B263" s="2" t="n">
        <v>2</v>
      </c>
      <c r="C263" s="2" t="n">
        <v>0.00518</v>
      </c>
      <c r="D263" s="2" t="n">
        <v>10.29497</v>
      </c>
      <c r="E263" s="2" t="inlineStr">
        <is>
          <t>mm/mm</t>
        </is>
      </c>
      <c r="F263" s="2" t="inlineStr">
        <is>
          <t>MPa</t>
        </is>
      </c>
      <c r="G263" s="2" t="inlineStr">
        <is>
          <t>FIGURE_DIGITIZED_APPROX</t>
        </is>
      </c>
      <c r="H263" s="2" t="inlineStr">
        <is>
          <t>Figure2 p6</t>
        </is>
      </c>
      <c r="I263" s="2" t="inlineStr">
        <is>
          <t>No batch assignment for 2%; no local fracture conversion</t>
        </is>
      </c>
    </row>
    <row r="264">
      <c r="A264" s="2" t="inlineStr">
        <is>
          <t>fig2b_tension_vf2</t>
        </is>
      </c>
      <c r="B264" s="2" t="n">
        <v>2</v>
      </c>
      <c r="C264" s="2" t="n">
        <v>0.0053064</v>
      </c>
      <c r="D264" s="2" t="n">
        <v>10.25283</v>
      </c>
      <c r="E264" s="2" t="inlineStr">
        <is>
          <t>mm/mm</t>
        </is>
      </c>
      <c r="F264" s="2" t="inlineStr">
        <is>
          <t>MPa</t>
        </is>
      </c>
      <c r="G264" s="2" t="inlineStr">
        <is>
          <t>FIGURE_DIGITIZED_APPROX</t>
        </is>
      </c>
      <c r="H264" s="2" t="inlineStr">
        <is>
          <t>Figure2 p6</t>
        </is>
      </c>
      <c r="I264" s="2" t="inlineStr">
        <is>
          <t>No batch assignment for 2%; no local fracture conversion</t>
        </is>
      </c>
    </row>
    <row r="265">
      <c r="A265" s="2" t="inlineStr">
        <is>
          <t>fig2b_tension_vf2</t>
        </is>
      </c>
      <c r="B265" s="2" t="n">
        <v>2</v>
      </c>
      <c r="C265" s="2" t="n">
        <v>0.0054327</v>
      </c>
      <c r="D265" s="2" t="n">
        <v>10.1522</v>
      </c>
      <c r="E265" s="2" t="inlineStr">
        <is>
          <t>mm/mm</t>
        </is>
      </c>
      <c r="F265" s="2" t="inlineStr">
        <is>
          <t>MPa</t>
        </is>
      </c>
      <c r="G265" s="2" t="inlineStr">
        <is>
          <t>FIGURE_DIGITIZED_APPROX</t>
        </is>
      </c>
      <c r="H265" s="2" t="inlineStr">
        <is>
          <t>Figure2 p6</t>
        </is>
      </c>
      <c r="I265" s="2" t="inlineStr">
        <is>
          <t>No batch assignment for 2%; no local fracture conversion</t>
        </is>
      </c>
    </row>
    <row r="266">
      <c r="A266" s="2" t="inlineStr">
        <is>
          <t>fig2b_tension_vf2</t>
        </is>
      </c>
      <c r="B266" s="2" t="n">
        <v>2</v>
      </c>
      <c r="C266" s="2" t="n">
        <v>0.0055591</v>
      </c>
      <c r="D266" s="2" t="n">
        <v>10.1171</v>
      </c>
      <c r="E266" s="2" t="inlineStr">
        <is>
          <t>mm/mm</t>
        </is>
      </c>
      <c r="F266" s="2" t="inlineStr">
        <is>
          <t>MPa</t>
        </is>
      </c>
      <c r="G266" s="2" t="inlineStr">
        <is>
          <t>FIGURE_DIGITIZED_APPROX</t>
        </is>
      </c>
      <c r="H266" s="2" t="inlineStr">
        <is>
          <t>Figure2 p6</t>
        </is>
      </c>
      <c r="I266" s="2" t="inlineStr">
        <is>
          <t>No batch assignment for 2%; no local fracture conversion</t>
        </is>
      </c>
    </row>
    <row r="267">
      <c r="A267" s="2" t="inlineStr">
        <is>
          <t>fig2b_tension_vf2</t>
        </is>
      </c>
      <c r="B267" s="2" t="n">
        <v>2</v>
      </c>
      <c r="C267" s="2" t="n">
        <v>0.0056854</v>
      </c>
      <c r="D267" s="2" t="n">
        <v>9.92299</v>
      </c>
      <c r="E267" s="2" t="inlineStr">
        <is>
          <t>mm/mm</t>
        </is>
      </c>
      <c r="F267" s="2" t="inlineStr">
        <is>
          <t>MPa</t>
        </is>
      </c>
      <c r="G267" s="2" t="inlineStr">
        <is>
          <t>FIGURE_DIGITIZED_APPROX</t>
        </is>
      </c>
      <c r="H267" s="2" t="inlineStr">
        <is>
          <t>Figure2 p6</t>
        </is>
      </c>
      <c r="I267" s="2" t="inlineStr">
        <is>
          <t>No batch assignment for 2%; no local fracture conversion</t>
        </is>
      </c>
    </row>
    <row r="268">
      <c r="A268" s="2" t="inlineStr">
        <is>
          <t>fig2b_tension_vf2</t>
        </is>
      </c>
      <c r="B268" s="2" t="n">
        <v>2</v>
      </c>
      <c r="C268" s="2" t="n">
        <v>0.0058118</v>
      </c>
      <c r="D268" s="2" t="n">
        <v>9.850519999999999</v>
      </c>
      <c r="E268" s="2" t="inlineStr">
        <is>
          <t>mm/mm</t>
        </is>
      </c>
      <c r="F268" s="2" t="inlineStr">
        <is>
          <t>MPa</t>
        </is>
      </c>
      <c r="G268" s="2" t="inlineStr">
        <is>
          <t>FIGURE_DIGITIZED_APPROX</t>
        </is>
      </c>
      <c r="H268" s="2" t="inlineStr">
        <is>
          <t>Figure2 p6</t>
        </is>
      </c>
      <c r="I268" s="2" t="inlineStr">
        <is>
          <t>No batch assignment for 2%; no local fracture conversion</t>
        </is>
      </c>
    </row>
    <row r="269">
      <c r="A269" s="2" t="inlineStr">
        <is>
          <t>fig2b_tension_vf2</t>
        </is>
      </c>
      <c r="B269" s="2" t="n">
        <v>2</v>
      </c>
      <c r="C269" s="2" t="n">
        <v>0.0059381</v>
      </c>
      <c r="D269" s="2" t="n">
        <v>9.81659</v>
      </c>
      <c r="E269" s="2" t="inlineStr">
        <is>
          <t>mm/mm</t>
        </is>
      </c>
      <c r="F269" s="2" t="inlineStr">
        <is>
          <t>MPa</t>
        </is>
      </c>
      <c r="G269" s="2" t="inlineStr">
        <is>
          <t>FIGURE_DIGITIZED_APPROX</t>
        </is>
      </c>
      <c r="H269" s="2" t="inlineStr">
        <is>
          <t>Figure2 p6</t>
        </is>
      </c>
      <c r="I269" s="2" t="inlineStr">
        <is>
          <t>No batch assignment for 2%; no local fracture conversion</t>
        </is>
      </c>
    </row>
    <row r="270">
      <c r="A270" s="2" t="inlineStr">
        <is>
          <t>fig2b_tension_vf2</t>
        </is>
      </c>
      <c r="B270" s="2" t="n">
        <v>2</v>
      </c>
      <c r="C270" s="2" t="n">
        <v>0.0060644</v>
      </c>
      <c r="D270" s="2" t="n">
        <v>9.74755</v>
      </c>
      <c r="E270" s="2" t="inlineStr">
        <is>
          <t>mm/mm</t>
        </is>
      </c>
      <c r="F270" s="2" t="inlineStr">
        <is>
          <t>MPa</t>
        </is>
      </c>
      <c r="G270" s="2" t="inlineStr">
        <is>
          <t>FIGURE_DIGITIZED_APPROX</t>
        </is>
      </c>
      <c r="H270" s="2" t="inlineStr">
        <is>
          <t>Figure2 p6</t>
        </is>
      </c>
      <c r="I270" s="2" t="inlineStr">
        <is>
          <t>No batch assignment for 2%; no local fracture conversion</t>
        </is>
      </c>
    </row>
    <row r="271">
      <c r="A271" s="2" t="inlineStr">
        <is>
          <t>fig2b_tension_vf2</t>
        </is>
      </c>
      <c r="B271" s="2" t="n">
        <v>2</v>
      </c>
      <c r="C271" s="2" t="n">
        <v>0.0061908</v>
      </c>
      <c r="D271" s="2" t="n">
        <v>9.692600000000001</v>
      </c>
      <c r="E271" s="2" t="inlineStr">
        <is>
          <t>mm/mm</t>
        </is>
      </c>
      <c r="F271" s="2" t="inlineStr">
        <is>
          <t>MPa</t>
        </is>
      </c>
      <c r="G271" s="2" t="inlineStr">
        <is>
          <t>FIGURE_DIGITIZED_APPROX</t>
        </is>
      </c>
      <c r="H271" s="2" t="inlineStr">
        <is>
          <t>Figure2 p6</t>
        </is>
      </c>
      <c r="I271" s="2" t="inlineStr">
        <is>
          <t>No batch assignment for 2%; no local fracture conversion</t>
        </is>
      </c>
    </row>
    <row r="272">
      <c r="A272" s="2" t="inlineStr">
        <is>
          <t>fig2b_tension_vf2</t>
        </is>
      </c>
      <c r="B272" s="2" t="n">
        <v>2</v>
      </c>
      <c r="C272" s="2" t="n">
        <v>0.0063171</v>
      </c>
      <c r="D272" s="2" t="n">
        <v>9.630599999999999</v>
      </c>
      <c r="E272" s="2" t="inlineStr">
        <is>
          <t>mm/mm</t>
        </is>
      </c>
      <c r="F272" s="2" t="inlineStr">
        <is>
          <t>MPa</t>
        </is>
      </c>
      <c r="G272" s="2" t="inlineStr">
        <is>
          <t>FIGURE_DIGITIZED_APPROX</t>
        </is>
      </c>
      <c r="H272" s="2" t="inlineStr">
        <is>
          <t>Figure2 p6</t>
        </is>
      </c>
      <c r="I272" s="2" t="inlineStr">
        <is>
          <t>No batch assignment for 2%; no local fracture conversion</t>
        </is>
      </c>
    </row>
    <row r="273">
      <c r="A273" s="2" t="inlineStr">
        <is>
          <t>fig2b_tension_vf2</t>
        </is>
      </c>
      <c r="B273" s="2" t="n">
        <v>2</v>
      </c>
      <c r="C273" s="2" t="n">
        <v>0.0064435</v>
      </c>
      <c r="D273" s="2" t="n">
        <v>9.490270000000001</v>
      </c>
      <c r="E273" s="2" t="inlineStr">
        <is>
          <t>mm/mm</t>
        </is>
      </c>
      <c r="F273" s="2" t="inlineStr">
        <is>
          <t>MPa</t>
        </is>
      </c>
      <c r="G273" s="2" t="inlineStr">
        <is>
          <t>FIGURE_DIGITIZED_APPROX</t>
        </is>
      </c>
      <c r="H273" s="2" t="inlineStr">
        <is>
          <t>Figure2 p6</t>
        </is>
      </c>
      <c r="I273" s="2" t="inlineStr">
        <is>
          <t>No batch assignment for 2%; no local fracture conversion</t>
        </is>
      </c>
    </row>
    <row r="274">
      <c r="A274" s="2" t="inlineStr">
        <is>
          <t>fig2b_tension_vf2</t>
        </is>
      </c>
      <c r="B274" s="2" t="n">
        <v>2</v>
      </c>
      <c r="C274" s="2" t="n">
        <v>0.0065698</v>
      </c>
      <c r="D274" s="2" t="n">
        <v>9.3651</v>
      </c>
      <c r="E274" s="2" t="inlineStr">
        <is>
          <t>mm/mm</t>
        </is>
      </c>
      <c r="F274" s="2" t="inlineStr">
        <is>
          <t>MPa</t>
        </is>
      </c>
      <c r="G274" s="2" t="inlineStr">
        <is>
          <t>FIGURE_DIGITIZED_APPROX</t>
        </is>
      </c>
      <c r="H274" s="2" t="inlineStr">
        <is>
          <t>Figure2 p6</t>
        </is>
      </c>
      <c r="I274" s="2" t="inlineStr">
        <is>
          <t>No batch assignment for 2%; no local fracture conversion</t>
        </is>
      </c>
    </row>
    <row r="275">
      <c r="A275" s="2" t="inlineStr">
        <is>
          <t>fig2b_tension_vf2</t>
        </is>
      </c>
      <c r="B275" s="2" t="n">
        <v>2</v>
      </c>
      <c r="C275" s="2" t="n">
        <v>0.0066962</v>
      </c>
      <c r="D275" s="2" t="n">
        <v>9.259880000000001</v>
      </c>
      <c r="E275" s="2" t="inlineStr">
        <is>
          <t>mm/mm</t>
        </is>
      </c>
      <c r="F275" s="2" t="inlineStr">
        <is>
          <t>MPa</t>
        </is>
      </c>
      <c r="G275" s="2" t="inlineStr">
        <is>
          <t>FIGURE_DIGITIZED_APPROX</t>
        </is>
      </c>
      <c r="H275" s="2" t="inlineStr">
        <is>
          <t>Figure2 p6</t>
        </is>
      </c>
      <c r="I275" s="2" t="inlineStr">
        <is>
          <t>No batch assignment for 2%; no local fracture conversion</t>
        </is>
      </c>
    </row>
    <row r="276">
      <c r="A276" s="2" t="inlineStr">
        <is>
          <t>fig2b_tension_vf2</t>
        </is>
      </c>
      <c r="B276" s="2" t="n">
        <v>2</v>
      </c>
      <c r="C276" s="2" t="n">
        <v>0.0068225</v>
      </c>
      <c r="D276" s="2" t="n">
        <v>9.13354</v>
      </c>
      <c r="E276" s="2" t="inlineStr">
        <is>
          <t>mm/mm</t>
        </is>
      </c>
      <c r="F276" s="2" t="inlineStr">
        <is>
          <t>MPa</t>
        </is>
      </c>
      <c r="G276" s="2" t="inlineStr">
        <is>
          <t>FIGURE_DIGITIZED_APPROX</t>
        </is>
      </c>
      <c r="H276" s="2" t="inlineStr">
        <is>
          <t>Figure2 p6</t>
        </is>
      </c>
      <c r="I276" s="2" t="inlineStr">
        <is>
          <t>No batch assignment for 2%; no local fracture conversion</t>
        </is>
      </c>
    </row>
    <row r="277">
      <c r="A277" s="2" t="inlineStr">
        <is>
          <t>fig2b_tension_vf2</t>
        </is>
      </c>
      <c r="B277" s="2" t="n">
        <v>2</v>
      </c>
      <c r="C277" s="2" t="n">
        <v>0.0069488</v>
      </c>
      <c r="D277" s="2" t="n">
        <v>9.009539999999999</v>
      </c>
      <c r="E277" s="2" t="inlineStr">
        <is>
          <t>mm/mm</t>
        </is>
      </c>
      <c r="F277" s="2" t="inlineStr">
        <is>
          <t>MPa</t>
        </is>
      </c>
      <c r="G277" s="2" t="inlineStr">
        <is>
          <t>FIGURE_DIGITIZED_APPROX</t>
        </is>
      </c>
      <c r="H277" s="2" t="inlineStr">
        <is>
          <t>Figure2 p6</t>
        </is>
      </c>
      <c r="I277" s="2" t="inlineStr">
        <is>
          <t>No batch assignment for 2%; no local fracture conversion</t>
        </is>
      </c>
    </row>
    <row r="278">
      <c r="A278" s="2" t="inlineStr">
        <is>
          <t>fig2b_tension_vf2</t>
        </is>
      </c>
      <c r="B278" s="2" t="n">
        <v>2</v>
      </c>
      <c r="C278" s="2" t="n">
        <v>0.0070752</v>
      </c>
      <c r="D278" s="2" t="n">
        <v>8.9452</v>
      </c>
      <c r="E278" s="2" t="inlineStr">
        <is>
          <t>mm/mm</t>
        </is>
      </c>
      <c r="F278" s="2" t="inlineStr">
        <is>
          <t>MPa</t>
        </is>
      </c>
      <c r="G278" s="2" t="inlineStr">
        <is>
          <t>FIGURE_DIGITIZED_APPROX</t>
        </is>
      </c>
      <c r="H278" s="2" t="inlineStr">
        <is>
          <t>Figure2 p6</t>
        </is>
      </c>
      <c r="I278" s="2" t="inlineStr">
        <is>
          <t>No batch assignment for 2%; no local fracture conversion</t>
        </is>
      </c>
    </row>
    <row r="279">
      <c r="A279" s="2" t="inlineStr">
        <is>
          <t>fig2b_tension_vf2</t>
        </is>
      </c>
      <c r="B279" s="2" t="n">
        <v>2</v>
      </c>
      <c r="C279" s="2" t="n">
        <v>0.0072015</v>
      </c>
      <c r="D279" s="2" t="n">
        <v>8.76507</v>
      </c>
      <c r="E279" s="2" t="inlineStr">
        <is>
          <t>mm/mm</t>
        </is>
      </c>
      <c r="F279" s="2" t="inlineStr">
        <is>
          <t>MPa</t>
        </is>
      </c>
      <c r="G279" s="2" t="inlineStr">
        <is>
          <t>FIGURE_DIGITIZED_APPROX</t>
        </is>
      </c>
      <c r="H279" s="2" t="inlineStr">
        <is>
          <t>Figure2 p6</t>
        </is>
      </c>
      <c r="I279" s="2" t="inlineStr">
        <is>
          <t>No batch assignment for 2%; no local fracture conversion</t>
        </is>
      </c>
    </row>
    <row r="280">
      <c r="A280" s="2" t="inlineStr">
        <is>
          <t>fig2b_tension_vf2</t>
        </is>
      </c>
      <c r="B280" s="2" t="n">
        <v>2</v>
      </c>
      <c r="C280" s="2" t="n">
        <v>0.0073279</v>
      </c>
      <c r="D280" s="2" t="n">
        <v>8.594329999999999</v>
      </c>
      <c r="E280" s="2" t="inlineStr">
        <is>
          <t>mm/mm</t>
        </is>
      </c>
      <c r="F280" s="2" t="inlineStr">
        <is>
          <t>MPa</t>
        </is>
      </c>
      <c r="G280" s="2" t="inlineStr">
        <is>
          <t>FIGURE_DIGITIZED_APPROX</t>
        </is>
      </c>
      <c r="H280" s="2" t="inlineStr">
        <is>
          <t>Figure2 p6</t>
        </is>
      </c>
      <c r="I280" s="2" t="inlineStr">
        <is>
          <t>No batch assignment for 2%; no local fracture conversion</t>
        </is>
      </c>
    </row>
    <row r="281">
      <c r="A281" s="2" t="inlineStr">
        <is>
          <t>fig2b_tension_vf2</t>
        </is>
      </c>
      <c r="B281" s="2" t="n">
        <v>2</v>
      </c>
      <c r="C281" s="2" t="n">
        <v>0.0074542</v>
      </c>
      <c r="D281" s="2" t="n">
        <v>8.49498</v>
      </c>
      <c r="E281" s="2" t="inlineStr">
        <is>
          <t>mm/mm</t>
        </is>
      </c>
      <c r="F281" s="2" t="inlineStr">
        <is>
          <t>MPa</t>
        </is>
      </c>
      <c r="G281" s="2" t="inlineStr">
        <is>
          <t>FIGURE_DIGITIZED_APPROX</t>
        </is>
      </c>
      <c r="H281" s="2" t="inlineStr">
        <is>
          <t>Figure2 p6</t>
        </is>
      </c>
      <c r="I281" s="2" t="inlineStr">
        <is>
          <t>No batch assignment for 2%; no local fracture conversion</t>
        </is>
      </c>
    </row>
    <row r="282">
      <c r="A282" s="2" t="inlineStr">
        <is>
          <t>fig2b_tension_vf2</t>
        </is>
      </c>
      <c r="B282" s="2" t="n">
        <v>2</v>
      </c>
      <c r="C282" s="2" t="n">
        <v>0.0075805</v>
      </c>
      <c r="D282" s="2" t="n">
        <v>8.410690000000001</v>
      </c>
      <c r="E282" s="2" t="inlineStr">
        <is>
          <t>mm/mm</t>
        </is>
      </c>
      <c r="F282" s="2" t="inlineStr">
        <is>
          <t>MPa</t>
        </is>
      </c>
      <c r="G282" s="2" t="inlineStr">
        <is>
          <t>FIGURE_DIGITIZED_APPROX</t>
        </is>
      </c>
      <c r="H282" s="2" t="inlineStr">
        <is>
          <t>Figure2 p6</t>
        </is>
      </c>
      <c r="I282" s="2" t="inlineStr">
        <is>
          <t>No batch assignment for 2%; no local fracture conversion</t>
        </is>
      </c>
    </row>
    <row r="283">
      <c r="A283" s="2" t="inlineStr">
        <is>
          <t>fig2b_tension_vf2</t>
        </is>
      </c>
      <c r="B283" s="2" t="n">
        <v>2</v>
      </c>
      <c r="C283" s="2" t="n">
        <v>0.0077069</v>
      </c>
      <c r="D283" s="2" t="n">
        <v>8.25863</v>
      </c>
      <c r="E283" s="2" t="inlineStr">
        <is>
          <t>mm/mm</t>
        </is>
      </c>
      <c r="F283" s="2" t="inlineStr">
        <is>
          <t>MPa</t>
        </is>
      </c>
      <c r="G283" s="2" t="inlineStr">
        <is>
          <t>FIGURE_DIGITIZED_APPROX</t>
        </is>
      </c>
      <c r="H283" s="2" t="inlineStr">
        <is>
          <t>Figure2 p6</t>
        </is>
      </c>
      <c r="I283" s="2" t="inlineStr">
        <is>
          <t>No batch assignment for 2%; no local fracture conversion</t>
        </is>
      </c>
    </row>
    <row r="284">
      <c r="A284" s="2" t="inlineStr">
        <is>
          <t>fig2b_tension_vf2</t>
        </is>
      </c>
      <c r="B284" s="2" t="n">
        <v>2</v>
      </c>
      <c r="C284" s="2" t="n">
        <v>0.0078332</v>
      </c>
      <c r="D284" s="2" t="n">
        <v>8.181469999999999</v>
      </c>
      <c r="E284" s="2" t="inlineStr">
        <is>
          <t>mm/mm</t>
        </is>
      </c>
      <c r="F284" s="2" t="inlineStr">
        <is>
          <t>MPa</t>
        </is>
      </c>
      <c r="G284" s="2" t="inlineStr">
        <is>
          <t>FIGURE_DIGITIZED_APPROX</t>
        </is>
      </c>
      <c r="H284" s="2" t="inlineStr">
        <is>
          <t>Figure2 p6</t>
        </is>
      </c>
      <c r="I284" s="2" t="inlineStr">
        <is>
          <t>No batch assignment for 2%; no local fracture conversion</t>
        </is>
      </c>
    </row>
    <row r="285">
      <c r="A285" s="2" t="inlineStr">
        <is>
          <t>fig2b_tension_vf2</t>
        </is>
      </c>
      <c r="B285" s="2" t="n">
        <v>2</v>
      </c>
      <c r="C285" s="2" t="n">
        <v>0.007959600000000001</v>
      </c>
      <c r="D285" s="2" t="n">
        <v>8.08437</v>
      </c>
      <c r="E285" s="2" t="inlineStr">
        <is>
          <t>mm/mm</t>
        </is>
      </c>
      <c r="F285" s="2" t="inlineStr">
        <is>
          <t>MPa</t>
        </is>
      </c>
      <c r="G285" s="2" t="inlineStr">
        <is>
          <t>FIGURE_DIGITIZED_APPROX</t>
        </is>
      </c>
      <c r="H285" s="2" t="inlineStr">
        <is>
          <t>Figure2 p6</t>
        </is>
      </c>
      <c r="I285" s="2" t="inlineStr">
        <is>
          <t>No batch assignment for 2%; no local fracture conversion</t>
        </is>
      </c>
    </row>
    <row r="286">
      <c r="A286" s="2" t="inlineStr">
        <is>
          <t>fig2b_tension_vf2</t>
        </is>
      </c>
      <c r="B286" s="2" t="n">
        <v>2</v>
      </c>
      <c r="C286" s="2" t="n">
        <v>0.0080859</v>
      </c>
      <c r="D286" s="2" t="n">
        <v>7.96741</v>
      </c>
      <c r="E286" s="2" t="inlineStr">
        <is>
          <t>mm/mm</t>
        </is>
      </c>
      <c r="F286" s="2" t="inlineStr">
        <is>
          <t>MPa</t>
        </is>
      </c>
      <c r="G286" s="2" t="inlineStr">
        <is>
          <t>FIGURE_DIGITIZED_APPROX</t>
        </is>
      </c>
      <c r="H286" s="2" t="inlineStr">
        <is>
          <t>Figure2 p6</t>
        </is>
      </c>
      <c r="I286" s="2" t="inlineStr">
        <is>
          <t>No batch assignment for 2%; no local fracture conversion</t>
        </is>
      </c>
    </row>
    <row r="287">
      <c r="A287" s="2" t="inlineStr">
        <is>
          <t>fig2b_tension_vf2</t>
        </is>
      </c>
      <c r="B287" s="2" t="n">
        <v>2</v>
      </c>
      <c r="C287" s="2" t="n">
        <v>0.008212300000000001</v>
      </c>
      <c r="D287" s="2" t="n">
        <v>7.87505</v>
      </c>
      <c r="E287" s="2" t="inlineStr">
        <is>
          <t>mm/mm</t>
        </is>
      </c>
      <c r="F287" s="2" t="inlineStr">
        <is>
          <t>MPa</t>
        </is>
      </c>
      <c r="G287" s="2" t="inlineStr">
        <is>
          <t>FIGURE_DIGITIZED_APPROX</t>
        </is>
      </c>
      <c r="H287" s="2" t="inlineStr">
        <is>
          <t>Figure2 p6</t>
        </is>
      </c>
      <c r="I287" s="2" t="inlineStr">
        <is>
          <t>No batch assignment for 2%; no local fracture conversion</t>
        </is>
      </c>
    </row>
    <row r="288">
      <c r="A288" s="2" t="inlineStr">
        <is>
          <t>fig2b_tension_vf2</t>
        </is>
      </c>
      <c r="B288" s="2" t="n">
        <v>2</v>
      </c>
      <c r="C288" s="2" t="n">
        <v>0.0083386</v>
      </c>
      <c r="D288" s="2" t="n">
        <v>7.79902</v>
      </c>
      <c r="E288" s="2" t="inlineStr">
        <is>
          <t>mm/mm</t>
        </is>
      </c>
      <c r="F288" s="2" t="inlineStr">
        <is>
          <t>MPa</t>
        </is>
      </c>
      <c r="G288" s="2" t="inlineStr">
        <is>
          <t>FIGURE_DIGITIZED_APPROX</t>
        </is>
      </c>
      <c r="H288" s="2" t="inlineStr">
        <is>
          <t>Figure2 p6</t>
        </is>
      </c>
      <c r="I288" s="2" t="inlineStr">
        <is>
          <t>No batch assignment for 2%; no local fracture conversion</t>
        </is>
      </c>
    </row>
    <row r="289">
      <c r="A289" s="2" t="inlineStr">
        <is>
          <t>fig2b_tension_vf2</t>
        </is>
      </c>
      <c r="B289" s="2" t="n">
        <v>2</v>
      </c>
      <c r="C289" s="2" t="n">
        <v>0.008464899999999999</v>
      </c>
      <c r="D289" s="2" t="n">
        <v>7.64579</v>
      </c>
      <c r="E289" s="2" t="inlineStr">
        <is>
          <t>mm/mm</t>
        </is>
      </c>
      <c r="F289" s="2" t="inlineStr">
        <is>
          <t>MPa</t>
        </is>
      </c>
      <c r="G289" s="2" t="inlineStr">
        <is>
          <t>FIGURE_DIGITIZED_APPROX</t>
        </is>
      </c>
      <c r="H289" s="2" t="inlineStr">
        <is>
          <t>Figure2 p6</t>
        </is>
      </c>
      <c r="I289" s="2" t="inlineStr">
        <is>
          <t>No batch assignment for 2%; no local fracture conversion</t>
        </is>
      </c>
    </row>
    <row r="290">
      <c r="A290" s="2" t="inlineStr">
        <is>
          <t>fig2b_tension_vf2</t>
        </is>
      </c>
      <c r="B290" s="2" t="n">
        <v>2</v>
      </c>
      <c r="C290" s="2" t="n">
        <v>0.0085913</v>
      </c>
      <c r="D290" s="2" t="n">
        <v>7.55455</v>
      </c>
      <c r="E290" s="2" t="inlineStr">
        <is>
          <t>mm/mm</t>
        </is>
      </c>
      <c r="F290" s="2" t="inlineStr">
        <is>
          <t>MPa</t>
        </is>
      </c>
      <c r="G290" s="2" t="inlineStr">
        <is>
          <t>FIGURE_DIGITIZED_APPROX</t>
        </is>
      </c>
      <c r="H290" s="2" t="inlineStr">
        <is>
          <t>Figure2 p6</t>
        </is>
      </c>
      <c r="I290" s="2" t="inlineStr">
        <is>
          <t>No batch assignment for 2%; no local fracture conversion</t>
        </is>
      </c>
    </row>
    <row r="291">
      <c r="A291" s="2" t="inlineStr">
        <is>
          <t>fig2b_tension_vf2</t>
        </is>
      </c>
      <c r="B291" s="2" t="n">
        <v>2</v>
      </c>
      <c r="C291" s="2" t="n">
        <v>0.008717600000000001</v>
      </c>
      <c r="D291" s="2" t="n">
        <v>7.45862</v>
      </c>
      <c r="E291" s="2" t="inlineStr">
        <is>
          <t>mm/mm</t>
        </is>
      </c>
      <c r="F291" s="2" t="inlineStr">
        <is>
          <t>MPa</t>
        </is>
      </c>
      <c r="G291" s="2" t="inlineStr">
        <is>
          <t>FIGURE_DIGITIZED_APPROX</t>
        </is>
      </c>
      <c r="H291" s="2" t="inlineStr">
        <is>
          <t>Figure2 p6</t>
        </is>
      </c>
      <c r="I291" s="2" t="inlineStr">
        <is>
          <t>No batch assignment for 2%; no local fracture conversion</t>
        </is>
      </c>
    </row>
    <row r="292">
      <c r="A292" s="2" t="inlineStr">
        <is>
          <t>fig2b_tension_vf2</t>
        </is>
      </c>
      <c r="B292" s="2" t="n">
        <v>2</v>
      </c>
      <c r="C292" s="2" t="n">
        <v>0.008843999999999999</v>
      </c>
      <c r="D292" s="2" t="n">
        <v>7.40484</v>
      </c>
      <c r="E292" s="2" t="inlineStr">
        <is>
          <t>mm/mm</t>
        </is>
      </c>
      <c r="F292" s="2" t="inlineStr">
        <is>
          <t>MPa</t>
        </is>
      </c>
      <c r="G292" s="2" t="inlineStr">
        <is>
          <t>FIGURE_DIGITIZED_APPROX</t>
        </is>
      </c>
      <c r="H292" s="2" t="inlineStr">
        <is>
          <t>Figure2 p6</t>
        </is>
      </c>
      <c r="I292" s="2" t="inlineStr">
        <is>
          <t>No batch assignment for 2%; no local fracture conversion</t>
        </is>
      </c>
    </row>
    <row r="293">
      <c r="A293" s="2" t="inlineStr">
        <is>
          <t>fig2b_tension_vf2</t>
        </is>
      </c>
      <c r="B293" s="2" t="n">
        <v>2</v>
      </c>
      <c r="C293" s="2" t="n">
        <v>0.0089703</v>
      </c>
      <c r="D293" s="2" t="n">
        <v>7.32534</v>
      </c>
      <c r="E293" s="2" t="inlineStr">
        <is>
          <t>mm/mm</t>
        </is>
      </c>
      <c r="F293" s="2" t="inlineStr">
        <is>
          <t>MPa</t>
        </is>
      </c>
      <c r="G293" s="2" t="inlineStr">
        <is>
          <t>FIGURE_DIGITIZED_APPROX</t>
        </is>
      </c>
      <c r="H293" s="2" t="inlineStr">
        <is>
          <t>Figure2 p6</t>
        </is>
      </c>
      <c r="I293" s="2" t="inlineStr">
        <is>
          <t>No batch assignment for 2%; no local fracture conversion</t>
        </is>
      </c>
    </row>
    <row r="294">
      <c r="A294" s="2" t="inlineStr">
        <is>
          <t>fig2b_tension_vf2</t>
        </is>
      </c>
      <c r="B294" s="2" t="n">
        <v>2</v>
      </c>
      <c r="C294" s="2" t="n">
        <v>0.009096699999999999</v>
      </c>
      <c r="D294" s="2" t="n">
        <v>7.22598</v>
      </c>
      <c r="E294" s="2" t="inlineStr">
        <is>
          <t>mm/mm</t>
        </is>
      </c>
      <c r="F294" s="2" t="inlineStr">
        <is>
          <t>MPa</t>
        </is>
      </c>
      <c r="G294" s="2" t="inlineStr">
        <is>
          <t>FIGURE_DIGITIZED_APPROX</t>
        </is>
      </c>
      <c r="H294" s="2" t="inlineStr">
        <is>
          <t>Figure2 p6</t>
        </is>
      </c>
      <c r="I294" s="2" t="inlineStr">
        <is>
          <t>No batch assignment for 2%; no local fracture conversion</t>
        </is>
      </c>
    </row>
    <row r="295">
      <c r="A295" s="2" t="inlineStr">
        <is>
          <t>fig2b_tension_vf2</t>
        </is>
      </c>
      <c r="B295" s="2" t="n">
        <v>2</v>
      </c>
      <c r="C295" s="2" t="n">
        <v>0.009223</v>
      </c>
      <c r="D295" s="2" t="n">
        <v>7.15338</v>
      </c>
      <c r="E295" s="2" t="inlineStr">
        <is>
          <t>mm/mm</t>
        </is>
      </c>
      <c r="F295" s="2" t="inlineStr">
        <is>
          <t>MPa</t>
        </is>
      </c>
      <c r="G295" s="2" t="inlineStr">
        <is>
          <t>FIGURE_DIGITIZED_APPROX</t>
        </is>
      </c>
      <c r="H295" s="2" t="inlineStr">
        <is>
          <t>Figure2 p6</t>
        </is>
      </c>
      <c r="I295" s="2" t="inlineStr">
        <is>
          <t>No batch assignment for 2%; no local fracture conversion</t>
        </is>
      </c>
    </row>
    <row r="296">
      <c r="A296" s="2" t="inlineStr">
        <is>
          <t>fig2b_tension_vf2</t>
        </is>
      </c>
      <c r="B296" s="2" t="n">
        <v>2</v>
      </c>
      <c r="C296" s="2" t="n">
        <v>0.0093493</v>
      </c>
      <c r="D296" s="2" t="n">
        <v>7.05045</v>
      </c>
      <c r="E296" s="2" t="inlineStr">
        <is>
          <t>mm/mm</t>
        </is>
      </c>
      <c r="F296" s="2" t="inlineStr">
        <is>
          <t>MPa</t>
        </is>
      </c>
      <c r="G296" s="2" t="inlineStr">
        <is>
          <t>FIGURE_DIGITIZED_APPROX</t>
        </is>
      </c>
      <c r="H296" s="2" t="inlineStr">
        <is>
          <t>Figure2 p6</t>
        </is>
      </c>
      <c r="I296" s="2" t="inlineStr">
        <is>
          <t>No batch assignment for 2%; no local fracture conversion</t>
        </is>
      </c>
    </row>
    <row r="297">
      <c r="A297" s="2" t="inlineStr">
        <is>
          <t>fig2b_tension_vf2</t>
        </is>
      </c>
      <c r="B297" s="2" t="n">
        <v>2</v>
      </c>
      <c r="C297" s="2" t="n">
        <v>0.0094757</v>
      </c>
      <c r="D297" s="2" t="n">
        <v>6.94171</v>
      </c>
      <c r="E297" s="2" t="inlineStr">
        <is>
          <t>mm/mm</t>
        </is>
      </c>
      <c r="F297" s="2" t="inlineStr">
        <is>
          <t>MPa</t>
        </is>
      </c>
      <c r="G297" s="2" t="inlineStr">
        <is>
          <t>FIGURE_DIGITIZED_APPROX</t>
        </is>
      </c>
      <c r="H297" s="2" t="inlineStr">
        <is>
          <t>Figure2 p6</t>
        </is>
      </c>
      <c r="I297" s="2" t="inlineStr">
        <is>
          <t>No batch assignment for 2%; no local fracture conversion</t>
        </is>
      </c>
    </row>
    <row r="298">
      <c r="A298" s="2" t="inlineStr">
        <is>
          <t>fig2b_tension_vf2</t>
        </is>
      </c>
      <c r="B298" s="2" t="n">
        <v>2</v>
      </c>
      <c r="C298" s="2" t="n">
        <v>0.009601999999999999</v>
      </c>
      <c r="D298" s="2" t="n">
        <v>6.86104</v>
      </c>
      <c r="E298" s="2" t="inlineStr">
        <is>
          <t>mm/mm</t>
        </is>
      </c>
      <c r="F298" s="2" t="inlineStr">
        <is>
          <t>MPa</t>
        </is>
      </c>
      <c r="G298" s="2" t="inlineStr">
        <is>
          <t>FIGURE_DIGITIZED_APPROX</t>
        </is>
      </c>
      <c r="H298" s="2" t="inlineStr">
        <is>
          <t>Figure2 p6</t>
        </is>
      </c>
      <c r="I298" s="2" t="inlineStr">
        <is>
          <t>No batch assignment for 2%; no local fracture conversion</t>
        </is>
      </c>
    </row>
    <row r="299">
      <c r="A299" s="2" t="inlineStr">
        <is>
          <t>fig2b_tension_vf2</t>
        </is>
      </c>
      <c r="B299" s="2" t="n">
        <v>2</v>
      </c>
      <c r="C299" s="2" t="n">
        <v>0.0097284</v>
      </c>
      <c r="D299" s="2" t="n">
        <v>6.74291</v>
      </c>
      <c r="E299" s="2" t="inlineStr">
        <is>
          <t>mm/mm</t>
        </is>
      </c>
      <c r="F299" s="2" t="inlineStr">
        <is>
          <t>MPa</t>
        </is>
      </c>
      <c r="G299" s="2" t="inlineStr">
        <is>
          <t>FIGURE_DIGITIZED_APPROX</t>
        </is>
      </c>
      <c r="H299" s="2" t="inlineStr">
        <is>
          <t>Figure2 p6</t>
        </is>
      </c>
      <c r="I299" s="2" t="inlineStr">
        <is>
          <t>No batch assignment for 2%; no local fracture conversion</t>
        </is>
      </c>
    </row>
    <row r="300">
      <c r="A300" s="2" t="inlineStr">
        <is>
          <t>fig2b_tension_vf2</t>
        </is>
      </c>
      <c r="B300" s="2" t="n">
        <v>2</v>
      </c>
      <c r="C300" s="2" t="n">
        <v>0.009854699999999999</v>
      </c>
      <c r="D300" s="2" t="n">
        <v>6.6727</v>
      </c>
      <c r="E300" s="2" t="inlineStr">
        <is>
          <t>mm/mm</t>
        </is>
      </c>
      <c r="F300" s="2" t="inlineStr">
        <is>
          <t>MPa</t>
        </is>
      </c>
      <c r="G300" s="2" t="inlineStr">
        <is>
          <t>FIGURE_DIGITIZED_APPROX</t>
        </is>
      </c>
      <c r="H300" s="2" t="inlineStr">
        <is>
          <t>Figure2 p6</t>
        </is>
      </c>
      <c r="I300" s="2" t="inlineStr">
        <is>
          <t>No batch assignment for 2%; no local fracture conversion</t>
        </is>
      </c>
    </row>
    <row r="301">
      <c r="A301" s="2" t="inlineStr">
        <is>
          <t>fig2b_tension_vf2</t>
        </is>
      </c>
      <c r="B301" s="2" t="n">
        <v>2</v>
      </c>
      <c r="C301" s="2" t="n">
        <v>0.0099811</v>
      </c>
      <c r="D301" s="2" t="n">
        <v>6.64111</v>
      </c>
      <c r="E301" s="2" t="inlineStr">
        <is>
          <t>mm/mm</t>
        </is>
      </c>
      <c r="F301" s="2" t="inlineStr">
        <is>
          <t>MPa</t>
        </is>
      </c>
      <c r="G301" s="2" t="inlineStr">
        <is>
          <t>FIGURE_DIGITIZED_APPROX</t>
        </is>
      </c>
      <c r="H301" s="2" t="inlineStr">
        <is>
          <t>Figure2 p6</t>
        </is>
      </c>
      <c r="I301" s="2" t="inlineStr">
        <is>
          <t>No batch assignment for 2%; no local fracture conversion</t>
        </is>
      </c>
    </row>
  </sheetData>
  <autoFilter ref="A1:I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49" customWidth="1" min="6" max="6"/>
  </cols>
  <sheetData>
    <row r="1" ht="38" customHeight="1">
      <c r="A1" s="1" t="inlineStr">
        <is>
          <t>Input</t>
        </is>
      </c>
      <c r="B1" s="1" t="inlineStr">
        <is>
          <t>Batch 1</t>
        </is>
      </c>
      <c r="C1" s="1" t="inlineStr">
        <is>
          <t>Batch 2</t>
        </is>
      </c>
      <c r="D1" s="1" t="inlineStr">
        <is>
          <t>Batch 3</t>
        </is>
      </c>
      <c r="E1" s="1" t="inlineStr">
        <is>
          <t>Status</t>
        </is>
      </c>
      <c r="F1" s="1" t="inlineStr">
        <is>
          <t>Correct interpretation / provenance</t>
        </is>
      </c>
    </row>
    <row r="2">
      <c r="A2" s="2" t="inlineStr">
        <is>
          <t>E0 MPa</t>
        </is>
      </c>
      <c r="B2" s="2" t="n">
        <v>46000</v>
      </c>
      <c r="C2" s="2" t="n">
        <v>47300</v>
      </c>
      <c r="D2" s="2" t="n">
        <v>45400</v>
      </c>
      <c r="E2" s="3" t="inlineStr">
        <is>
          <t>REPORTED</t>
        </is>
      </c>
      <c r="F2" s="2" t="inlineStr">
        <is>
          <t>Table 2; convert GPa -&gt; MPa</t>
        </is>
      </c>
    </row>
    <row r="3">
      <c r="A3" s="2" t="inlineStr">
        <is>
          <t>nu</t>
        </is>
      </c>
      <c r="B3" s="2" t="n"/>
      <c r="C3" s="2" t="n"/>
      <c r="D3" s="2" t="n"/>
      <c r="E3" s="4" t="inlineStr">
        <is>
          <t>MISSING</t>
        </is>
      </c>
      <c r="F3" s="2" t="inlineStr">
        <is>
          <t>No Poisson ratio measured in paper</t>
        </is>
      </c>
    </row>
    <row r="4">
      <c r="A4" s="2" t="inlineStr">
        <is>
          <t>fc MPa</t>
        </is>
      </c>
      <c r="B4" s="2" t="n">
        <v>152.8</v>
      </c>
      <c r="C4" s="2" t="n">
        <v>153.2</v>
      </c>
      <c r="D4" s="2" t="n">
        <v>166.4</v>
      </c>
      <c r="E4" s="3" t="inlineStr">
        <is>
          <t>REPORTED</t>
        </is>
      </c>
      <c r="F4" s="2" t="inlineStr">
        <is>
          <t>Table 2</t>
        </is>
      </c>
    </row>
    <row r="5">
      <c r="A5" s="2" t="inlineStr">
        <is>
          <t>eps_cp</t>
        </is>
      </c>
      <c r="B5" s="2" t="n">
        <v>0.0035</v>
      </c>
      <c r="C5" s="2" t="n">
        <v>0.0032</v>
      </c>
      <c r="D5" s="2" t="n">
        <v>0.004</v>
      </c>
      <c r="E5" s="3" t="inlineStr">
        <is>
          <t>REPORTED</t>
        </is>
      </c>
      <c r="F5" s="2" t="inlineStr">
        <is>
          <t>Table2 %/100; total axial strain at peak</t>
        </is>
      </c>
    </row>
    <row r="6">
      <c r="A6" s="2" t="inlineStr">
        <is>
          <t>compression sigma vs total eps</t>
        </is>
      </c>
      <c r="B6" s="2" t="n"/>
      <c r="C6" s="2" t="n"/>
      <c r="D6" s="2" t="n"/>
      <c r="E6" s="4" t="inlineStr">
        <is>
          <t>MISSING</t>
        </is>
      </c>
      <c r="F6" s="2" t="inlineStr">
        <is>
          <t>Only three anchors; must measure or introduce SOURCE-DEFINED assumed law</t>
        </is>
      </c>
    </row>
    <row r="7">
      <c r="A7" s="2" t="inlineStr">
        <is>
          <t>compression hardening sigma vs eps_in</t>
        </is>
      </c>
      <c r="B7" s="2" t="n"/>
      <c r="C7" s="2" t="n"/>
      <c r="D7" s="2" t="n"/>
      <c r="E7" s="4" t="inlineStr">
        <is>
          <t>MISSING</t>
        </is>
      </c>
      <c r="F7" s="2" t="inlineStr">
        <is>
          <t>eps_in=eps_total-sigma/E0, nondecreasing/nonnegative</t>
        </is>
      </c>
    </row>
    <row r="8">
      <c r="A8" s="2" t="inlineStr">
        <is>
          <t>compression damage dc vs eps_in</t>
        </is>
      </c>
      <c r="B8" s="2" t="n"/>
      <c r="C8" s="2" t="n"/>
      <c r="D8" s="2" t="n"/>
      <c r="E8" s="4" t="inlineStr">
        <is>
          <t>MISSING</t>
        </is>
      </c>
      <c r="F8" s="2" t="inlineStr">
        <is>
          <t>If used, check Abaqus calculated plastic strain monotonic</t>
        </is>
      </c>
    </row>
    <row r="9">
      <c r="A9" s="2" t="inlineStr">
        <is>
          <t>ft cracking MPa</t>
        </is>
      </c>
      <c r="B9" s="2" t="n">
        <v>9</v>
      </c>
      <c r="C9" s="2" t="n">
        <v>8.800000000000001</v>
      </c>
      <c r="D9" s="2" t="n">
        <v>6</v>
      </c>
      <c r="E9" s="3" t="inlineStr">
        <is>
          <t>REPORTED</t>
        </is>
      </c>
      <c r="F9" s="2" t="inlineStr">
        <is>
          <t>Table 2, direct tension</t>
        </is>
      </c>
    </row>
    <row r="10">
      <c r="A10" s="2" t="inlineStr">
        <is>
          <t>ft localization MPa</t>
        </is>
      </c>
      <c r="B10" s="2" t="n">
        <v>10</v>
      </c>
      <c r="C10" s="2" t="n">
        <v>9.300000000000001</v>
      </c>
      <c r="D10" s="2" t="n">
        <v>7.5</v>
      </c>
      <c r="E10" s="3" t="inlineStr">
        <is>
          <t>REPORTED</t>
        </is>
      </c>
      <c r="F10" s="2" t="inlineStr">
        <is>
          <t>Table 2, direct tension</t>
        </is>
      </c>
    </row>
    <row r="11">
      <c r="A11" s="2" t="inlineStr">
        <is>
          <t>strain during hardening eps_tcr</t>
        </is>
      </c>
      <c r="B11" s="2" t="n">
        <v>0.0016</v>
      </c>
      <c r="C11" s="2" t="n">
        <v>0.0015</v>
      </c>
      <c r="D11" s="2" t="n">
        <v>0.001</v>
      </c>
      <c r="E11" s="3" t="inlineStr">
        <is>
          <t>REPORTED</t>
        </is>
      </c>
      <c r="F11" s="2" t="inlineStr">
        <is>
          <t>Table 2 %/100, not Abaqus cracking strain</t>
        </is>
      </c>
    </row>
    <row r="12">
      <c r="A12" s="2" t="inlineStr">
        <is>
          <t>strain at localization eps_tloc</t>
        </is>
      </c>
      <c r="B12" s="2" t="n">
        <v>0.005</v>
      </c>
      <c r="C12" s="2" t="n">
        <v>0.005</v>
      </c>
      <c r="D12" s="2" t="n">
        <v>0.0027</v>
      </c>
      <c r="E12" s="3" t="inlineStr">
        <is>
          <t>REPORTED</t>
        </is>
      </c>
      <c r="F12" s="2" t="inlineStr">
        <is>
          <t>Table 2 %/100; gauges differ by batch</t>
        </is>
      </c>
    </row>
    <row r="13">
      <c r="A13" s="2" t="inlineStr">
        <is>
          <t>sigma-eps tension representative</t>
        </is>
      </c>
      <c r="B13" s="2" t="n"/>
      <c r="C13" s="2" t="n"/>
      <c r="D13" s="2" t="n"/>
      <c r="E13" s="2" t="inlineStr">
        <is>
          <t>GRAPH ONLY</t>
        </is>
      </c>
      <c r="F13" s="2" t="inlineStr">
        <is>
          <t>Fig2b 2% representative cannot resolve Batch1 vs Batch2</t>
        </is>
      </c>
    </row>
    <row r="14">
      <c r="A14" s="2" t="inlineStr">
        <is>
          <t>fracture energy Gf N/mm</t>
        </is>
      </c>
      <c r="B14" s="2" t="n"/>
      <c r="C14" s="2" t="n"/>
      <c r="D14" s="2" t="n"/>
      <c r="E14" s="4" t="inlineStr">
        <is>
          <t>MISSING</t>
        </is>
      </c>
      <c r="F14" s="2" t="inlineStr">
        <is>
          <t>Do not transfer Fang 13.762/6.836 as measured here</t>
        </is>
      </c>
    </row>
    <row r="15">
      <c r="A15" s="2" t="inlineStr">
        <is>
          <t>sigma-w postloc</t>
        </is>
      </c>
      <c r="B15" s="2" t="n"/>
      <c r="C15" s="2" t="n"/>
      <c r="D15" s="2" t="n"/>
      <c r="E15" s="4" t="inlineStr">
        <is>
          <t>MISSING</t>
        </is>
      </c>
      <c r="F15" s="2" t="inlineStr">
        <is>
          <t>Need crack-opening or inverse-calibrated law</t>
        </is>
      </c>
    </row>
    <row r="16">
      <c r="A16" s="2" t="inlineStr">
        <is>
          <t>tension damage dt</t>
        </is>
      </c>
      <c r="B16" s="2" t="n"/>
      <c r="C16" s="2" t="n"/>
      <c r="D16" s="2" t="n"/>
      <c r="E16" s="4" t="inlineStr">
        <is>
          <t>MISSING</t>
        </is>
      </c>
      <c r="F16" s="2" t="inlineStr">
        <is>
          <t>May omit initially; then damage contours/redistribution restricted</t>
        </is>
      </c>
    </row>
    <row r="17">
      <c r="A17" s="2" t="inlineStr">
        <is>
          <t>CDP psi</t>
        </is>
      </c>
      <c r="B17" s="2" t="n"/>
      <c r="C17" s="2" t="n"/>
      <c r="D17" s="2" t="n"/>
      <c r="E17" s="4" t="inlineStr">
        <is>
          <t>MISSING</t>
        </is>
      </c>
      <c r="F17" s="2" t="inlineStr">
        <is>
          <t>Independent sensitivity study: do not use legacy 36deg as confirmed</t>
        </is>
      </c>
    </row>
    <row r="18">
      <c r="A18" s="2" t="inlineStr">
        <is>
          <t>CDP eccentricity</t>
        </is>
      </c>
      <c r="B18" s="2" t="n"/>
      <c r="C18" s="2" t="n"/>
      <c r="D18" s="2" t="n"/>
      <c r="E18" s="4" t="inlineStr">
        <is>
          <t>MISSING</t>
        </is>
      </c>
      <c r="F18" s="2" t="inlineStr">
        <is>
          <t>Abaqus default/assumption requires recording</t>
        </is>
      </c>
    </row>
    <row r="19">
      <c r="A19" s="2" t="inlineStr">
        <is>
          <t>CDP fb0/fc0</t>
        </is>
      </c>
      <c r="B19" s="2" t="n"/>
      <c r="C19" s="2" t="n"/>
      <c r="D19" s="2" t="n"/>
      <c r="E19" s="4" t="inlineStr">
        <is>
          <t>MISSING</t>
        </is>
      </c>
      <c r="F19" s="2" t="inlineStr">
        <is>
          <t>Assumption not test measurement</t>
        </is>
      </c>
    </row>
    <row r="20">
      <c r="A20" s="2" t="inlineStr">
        <is>
          <t>CDP Kc</t>
        </is>
      </c>
      <c r="B20" s="2" t="n"/>
      <c r="C20" s="2" t="n"/>
      <c r="D20" s="2" t="n"/>
      <c r="E20" s="4" t="inlineStr">
        <is>
          <t>MISSING</t>
        </is>
      </c>
      <c r="F20" s="2" t="inlineStr">
        <is>
          <t>Assumption not test measurement</t>
        </is>
      </c>
    </row>
    <row r="21">
      <c r="A21" s="2" t="inlineStr">
        <is>
          <t>CDP viscosity</t>
        </is>
      </c>
      <c r="B21" s="2" t="n"/>
      <c r="C21" s="2" t="n"/>
      <c r="D21" s="2" t="n"/>
      <c r="E21" s="4" t="inlineStr">
        <is>
          <t>MISSING</t>
        </is>
      </c>
      <c r="F21" s="2" t="inlineStr">
        <is>
          <t>Solver algorithm choice, not material measurement</t>
        </is>
      </c>
    </row>
  </sheetData>
  <autoFilter ref="A1:F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9" customWidth="1" min="2" max="2"/>
    <col width="13" customWidth="1" min="3" max="3"/>
  </cols>
  <sheetData>
    <row r="1" ht="38" customHeight="1">
      <c r="A1" s="1" t="inlineStr">
        <is>
          <t>Gate</t>
        </is>
      </c>
      <c r="B1" s="1" t="inlineStr">
        <is>
          <t>Finding</t>
        </is>
      </c>
      <c r="C1" s="1" t="inlineStr">
        <is>
          <t>Release</t>
        </is>
      </c>
    </row>
    <row r="2">
      <c r="A2" s="2" t="inlineStr">
        <is>
          <t>PAPER</t>
        </is>
      </c>
      <c r="B2" s="2" t="inlineStr">
        <is>
          <t>12 T beams, three test batches, 4 point loading? NO: 3-point ECCENTRIC</t>
        </is>
      </c>
      <c r="C2" s="3" t="inlineStr">
        <is>
          <t>PASS</t>
        </is>
      </c>
    </row>
    <row r="3">
      <c r="A3" s="2" t="inlineStr">
        <is>
          <t>PAPER_CONFLICT</t>
        </is>
      </c>
      <c r="B3" s="2" t="inlineStr">
        <is>
          <t>Fig1 top longitudinal 2x M#3 vs Sec2.1 text 2x M#4</t>
        </is>
      </c>
      <c r="C3" s="4" t="inlineStr">
        <is>
          <t>HOLD</t>
        </is>
      </c>
    </row>
    <row r="4">
      <c r="A4" s="2" t="inlineStr">
        <is>
          <t>GEOMETRY</t>
        </is>
      </c>
      <c r="B4" s="2" t="inlineStr">
        <is>
          <t>Unique 0.4% HSS special support arrangement</t>
        </is>
      </c>
      <c r="C4" s="2" t="inlineStr">
        <is>
          <t>CONTROLLED</t>
        </is>
      </c>
    </row>
    <row r="5">
      <c r="A5" s="2" t="inlineStr">
        <is>
          <t>EXP_TARGET</t>
        </is>
      </c>
      <c r="B5" s="2" t="inlineStr">
        <is>
          <t>Table4 Vult is shear force, NOT necessarily applied P</t>
        </is>
      </c>
      <c r="C5" s="2" t="inlineStr">
        <is>
          <t>CONTROLLED</t>
        </is>
      </c>
    </row>
    <row r="6">
      <c r="A6" s="2" t="inlineStr">
        <is>
          <t>MATERIAL</t>
        </is>
      </c>
      <c r="B6" s="2" t="inlineStr">
        <is>
          <t>3 mean E/fc/epscp/ft values extracted</t>
        </is>
      </c>
      <c r="C6" s="3" t="inlineStr">
        <is>
          <t>PASS</t>
        </is>
      </c>
    </row>
    <row r="7">
      <c r="A7" s="2" t="inlineStr">
        <is>
          <t>MATERIAL_CURVES</t>
        </is>
      </c>
      <c r="B7" s="2" t="inlineStr">
        <is>
          <t>Four approximate representative Fig2 curves digitized</t>
        </is>
      </c>
      <c r="C7" s="2" t="inlineStr">
        <is>
          <t>CONDITIONAL</t>
        </is>
      </c>
    </row>
    <row r="8">
      <c r="A8" s="2" t="inlineStr">
        <is>
          <t>CDP</t>
        </is>
      </c>
      <c r="B8" s="2" t="inlineStr">
        <is>
          <t>Full compression postpeak, sigma-w, damage, dilation unavailable</t>
        </is>
      </c>
      <c r="C8" s="4" t="inlineStr">
        <is>
          <t>HOLD</t>
        </is>
      </c>
    </row>
    <row r="9">
      <c r="A9" s="2" t="inlineStr">
        <is>
          <t>STEEL</t>
        </is>
      </c>
      <c r="B9" s="2" t="inlineStr">
        <is>
          <t>fy/fu E reported, no full stress-strain; top rebar conflict</t>
        </is>
      </c>
      <c r="C9" s="4" t="inlineStr">
        <is>
          <t>HOLD</t>
        </is>
      </c>
    </row>
    <row r="10">
      <c r="A10" s="2" t="inlineStr">
        <is>
          <t>MODEL</t>
        </is>
      </c>
      <c r="B10" s="2" t="inlineStr">
        <is>
          <t>No Abaqus job submitted; no validated predictions</t>
        </is>
      </c>
      <c r="C10" s="4" t="inlineStr">
        <is>
          <t>NOT RUN</t>
        </is>
      </c>
    </row>
    <row r="11">
      <c r="A11" s="2" t="inlineStr">
        <is>
          <t>BASELINE</t>
        </is>
      </c>
      <c r="B11" s="2" t="inlineStr">
        <is>
          <t>Source materials may be built as elastic preview; CDP must pass gate</t>
        </is>
      </c>
      <c r="C11" s="4" t="inlineStr">
        <is>
          <t>NOT RELEASED</t>
        </is>
      </c>
    </row>
  </sheetData>
  <autoFilter ref="A1:C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3" customWidth="1" min="5" max="5"/>
    <col width="26" customWidth="1" min="6" max="6"/>
    <col width="16" customWidth="1" min="7" max="7"/>
    <col width="47" customWidth="1" min="8" max="8"/>
    <col width="58" customWidth="1" min="9" max="9"/>
  </cols>
  <sheetData>
    <row r="1" ht="38" customHeight="1">
      <c r="A1" s="6" t="inlineStr">
        <is>
          <t>Batch</t>
        </is>
      </c>
      <c r="B1" s="6" t="inlineStr">
        <is>
          <t>f_c MPa</t>
        </is>
      </c>
      <c r="C1" s="6" t="inlineStr">
        <is>
          <t>E MPa</t>
        </is>
      </c>
      <c r="D1" s="6" t="inlineStr">
        <is>
          <t>eps_cp</t>
        </is>
      </c>
      <c r="E1" s="6" t="inlineStr">
        <is>
          <t>eps_elastic_peak = fc/E</t>
        </is>
      </c>
      <c r="F1" s="6" t="inlineStr">
        <is>
          <t>eps_in_peak = eps_cp - fc/E</t>
        </is>
      </c>
      <c r="G1" s="6" t="inlineStr">
        <is>
          <t>E*eps_cp/fc</t>
        </is>
      </c>
      <c r="H1" s="6" t="inlineStr">
        <is>
          <t>Abaqus direct insertability</t>
        </is>
      </c>
      <c r="I1" s="6" t="inlineStr">
        <is>
          <t>Provenance</t>
        </is>
      </c>
    </row>
    <row r="2">
      <c r="A2" s="7">
        <f>'01_BATCH_MATERIAL'!A2</f>
        <v/>
      </c>
      <c r="B2" s="7">
        <f>'01_BATCH_MATERIAL'!C2</f>
        <v/>
      </c>
      <c r="C2" s="7">
        <f>'01_BATCH_MATERIAL'!E2*1000</f>
        <v/>
      </c>
      <c r="D2" s="8">
        <f>'01_BATCH_MATERIAL'!G2/100</f>
        <v/>
      </c>
      <c r="E2" s="8">
        <f>B2/C2</f>
        <v/>
      </c>
      <c r="F2" s="8">
        <f>D2-E2</f>
        <v/>
      </c>
      <c r="G2" s="8">
        <f>C2*D2/B2</f>
        <v/>
      </c>
      <c r="H2" s="7">
        <f>IF(F2&lt;0,"HOLD: NEGATIVE EPS_IN_PEAK","ANCHOR NONNEGATIVE; FULL LAW STILL MISSING")</f>
        <v/>
      </c>
      <c r="I2" s="9" t="inlineStr">
        <is>
          <t>DERIVED FROM REPORTED BATCH MEANS; NOT A TRUE SAMPLE CURVE</t>
        </is>
      </c>
    </row>
    <row r="3">
      <c r="A3" s="7">
        <f>'01_BATCH_MATERIAL'!A3</f>
        <v/>
      </c>
      <c r="B3" s="7">
        <f>'01_BATCH_MATERIAL'!C3</f>
        <v/>
      </c>
      <c r="C3" s="7">
        <f>'01_BATCH_MATERIAL'!E3*1000</f>
        <v/>
      </c>
      <c r="D3" s="8">
        <f>'01_BATCH_MATERIAL'!G3/100</f>
        <v/>
      </c>
      <c r="E3" s="8">
        <f>B3/C3</f>
        <v/>
      </c>
      <c r="F3" s="8">
        <f>D3-E3</f>
        <v/>
      </c>
      <c r="G3" s="8">
        <f>C3*D3/B3</f>
        <v/>
      </c>
      <c r="H3" s="7">
        <f>IF(F3&lt;0,"HOLD: NEGATIVE EPS_IN_PEAK","ANCHOR NONNEGATIVE; FULL LAW STILL MISSING")</f>
        <v/>
      </c>
      <c r="I3" s="9" t="inlineStr">
        <is>
          <t>DERIVED FROM REPORTED BATCH MEANS; NOT A TRUE SAMPLE CURVE</t>
        </is>
      </c>
    </row>
    <row r="4">
      <c r="A4" s="7">
        <f>'01_BATCH_MATERIAL'!A4</f>
        <v/>
      </c>
      <c r="B4" s="7">
        <f>'01_BATCH_MATERIAL'!C4</f>
        <v/>
      </c>
      <c r="C4" s="7">
        <f>'01_BATCH_MATERIAL'!E4*1000</f>
        <v/>
      </c>
      <c r="D4" s="8">
        <f>'01_BATCH_MATERIAL'!G4/100</f>
        <v/>
      </c>
      <c r="E4" s="8">
        <f>B4/C4</f>
        <v/>
      </c>
      <c r="F4" s="8">
        <f>D4-E4</f>
        <v/>
      </c>
      <c r="G4" s="8">
        <f>C4*D4/B4</f>
        <v/>
      </c>
      <c r="H4" s="7">
        <f>IF(F4&lt;0,"HOLD: NEGATIVE EPS_IN_PEAK","ANCHOR NONNEGATIVE; FULL LAW STILL MISSING")</f>
        <v/>
      </c>
      <c r="I4" s="9" t="inlineStr">
        <is>
          <t>DERIVED FROM REPORTED BATCH MEANS; NOT A TRUE SAMPLE CURVE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2026-10-16T15:40:01Z</dcterms:created>
  <dcterms:modified xmlns:dcterms="http://purl.org/dc/terms/" xmlns:xsi="http://www.w3.org/2001/XMLSchema-instance" xsi:type="dcterms:W3CDTF">2026-10-16T15:44:12Z</dcterms:modified>
</cp:coreProperties>
</file>