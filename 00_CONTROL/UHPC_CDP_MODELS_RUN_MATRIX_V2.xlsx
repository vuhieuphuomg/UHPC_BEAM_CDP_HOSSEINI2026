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AMPLES" sheetId="2" state="visible" r:id="rId2"/>
    <sheet xmlns:r="http://schemas.openxmlformats.org/officeDocument/2006/relationships" name="02_MATERIAL_LAWS" sheetId="3" state="visible" r:id="rId3"/>
    <sheet xmlns:r="http://schemas.openxmlformats.org/officeDocument/2006/relationships" name="03_RUN_MATRIX" sheetId="4" state="visible" r:id="rId4"/>
    <sheet xmlns:r="http://schemas.openxmlformats.org/officeDocument/2006/relationships" name="04_STAGE_COUNTS" sheetId="5" state="visible" r:id="rId5"/>
    <sheet xmlns:r="http://schemas.openxmlformats.org/officeDocument/2006/relationships" name="05_BATCHES" sheetId="6" state="visible" r:id="rId6"/>
    <sheet xmlns:r="http://schemas.openxmlformats.org/officeDocument/2006/relationships" name="06_GATES" sheetId="7" state="visible" r:id="rId7"/>
  </sheets>
  <definedNames>
    <definedName name="_xlnm._FilterDatabase" localSheetId="1" hidden="1">'01_SAMPLES'!$A$1:$M$13</definedName>
    <definedName name="_xlnm._FilterDatabase" localSheetId="2" hidden="1">'02_MATERIAL_LAWS'!$A$1:$H$7</definedName>
    <definedName name="_xlnm._FilterDatabase" localSheetId="3" hidden="1">'03_RUN_MATRIX'!$A$1:$Q$45</definedName>
    <definedName name="_xlnm._FilterDatabase" localSheetId="4" hidden="1">'04_STAGE_COUNTS'!$A$1:$D$11</definedName>
    <definedName name="_xlnm._FilterDatabase" localSheetId="5" hidden="1">'05_BATCHES'!$A$1:$L$4</definedName>
    <definedName name="_xlnm._FilterDatabase" localSheetId="6" hidden="1">'06_GATES'!$A$1:$C$10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b val="1"/>
      <color rgb="00263A59"/>
    </font>
    <font>
      <b val="1"/>
      <color rgb="00FFFFFF"/>
      <sz val="13"/>
    </font>
    <font>
      <b val="1"/>
      <color rgb="00FFFFFF"/>
      <sz val="10"/>
    </font>
    <font>
      <color rgb="0031435C"/>
      <sz val="10"/>
    </font>
    <font>
      <b val="1"/>
      <color rgb="00A95617"/>
      <sz val="10"/>
    </font>
    <font>
      <color rgb="00141414"/>
      <sz val="10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183552"/>
      </patternFill>
    </fill>
    <fill>
      <patternFill patternType="solid">
        <fgColor rgb="00F1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4" fontId="4" fillId="4" borderId="0" applyAlignment="1" pivotButton="0" quotePrefix="0" xfId="0">
      <alignment vertical="top" wrapText="1"/>
    </xf>
    <xf numFmtId="164" fontId="6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7" customWidth="1" min="1" max="1"/>
    <col width="118" customWidth="1" min="2" max="2"/>
  </cols>
  <sheetData>
    <row r="1" ht="42" customHeight="1">
      <c r="A1" s="1" t="inlineStr">
        <is>
          <t>UHPC BEAM CDP | MODEL COMPARISON &amp; ABAQUS RUN PLAN | V2</t>
        </is>
      </c>
      <c r="B1" s="2" t="inlineStr"/>
    </row>
    <row r="2" ht="33" customHeight="1">
      <c r="A2" s="3" t="inlineStr">
        <is>
          <t>Design</t>
        </is>
      </c>
      <c r="B2" s="2" t="inlineStr">
        <is>
          <t>12 experimental T-beams; 4 screening specimens, 8 pre-designated within-study holdout specimens.</t>
        </is>
      </c>
    </row>
    <row r="3" ht="33" customHeight="1">
      <c r="A3" s="3" t="inlineStr">
        <is>
          <t>Recommended executable 3D jobs</t>
        </is>
      </c>
      <c r="B3" s="2" t="inlineStr">
        <is>
          <t>42 core planned; 2 HSS conditional HOLD; none executed.</t>
        </is>
      </c>
    </row>
    <row r="4" ht="33" customHeight="1">
      <c r="A4" s="3" t="inlineStr">
        <is>
          <t>Material unit tests</t>
        </is>
      </c>
      <c r="B4" s="2" t="inlineStr">
        <is>
          <t>Optional 3 batches x (4 compression + 2 tension)=18 one-element constitutive QA; NOT counted as 3D beam jobs.</t>
        </is>
      </c>
    </row>
    <row r="5" ht="33" customHeight="1">
      <c r="A5" s="3" t="inlineStr">
        <is>
          <t>Source primary</t>
        </is>
      </c>
      <c r="B5" s="2" t="inlineStr">
        <is>
          <t>https://doi.org/10.1016/j.engstruct.2025.121810</t>
        </is>
      </c>
    </row>
    <row r="6" ht="33" customHeight="1">
      <c r="A6" s="3" t="inlineStr">
        <is>
          <t>Source methods</t>
        </is>
      </c>
      <c r="B6" s="2" t="inlineStr">
        <is>
          <t>https://doi.org/10.1016/j.engstruct.2025.120154</t>
        </is>
      </c>
    </row>
    <row r="7" ht="33" customHeight="1">
      <c r="A7" s="3" t="inlineStr">
        <is>
          <t>Tensile choice</t>
        </is>
      </c>
      <c r="B7" s="2" t="inlineStr">
        <is>
          <t>T1 Tian 2023 as modified by Fakeh 2025; T2 Zhao 2013. Post-cracking use stress-cracking displacement, not raw engineering stress-strain.</t>
        </is>
      </c>
    </row>
    <row r="8" ht="33" customHeight="1">
      <c r="A8" s="3" t="inlineStr">
        <is>
          <t>Compressive choice</t>
        </is>
      </c>
      <c r="B8" s="2" t="inlineStr">
        <is>
          <t>C1 Modified Graybeal is initial baseline; C2 Zhao, C3 Wang, C4 Yan as alternative published expressions summarized in Fakeh Table 3.</t>
        </is>
      </c>
    </row>
    <row r="9" ht="33" customHeight="1">
      <c r="A9" s="3" t="inlineStr">
        <is>
          <t>Plan policy</t>
        </is>
      </c>
      <c r="B9" s="2" t="inlineStr">
        <is>
          <t>Sequential screening: P1 fixes C1, P2 fixes T_BEST; full 2x4 interaction NOT tested. If models interact, authorize extra cross-over jobs before validation.</t>
        </is>
      </c>
    </row>
    <row r="10" ht="33" customHeight="1">
      <c r="A10" s="3" t="inlineStr">
        <is>
          <t>Holdout policy</t>
        </is>
      </c>
      <c r="B10" s="2" t="inlineStr">
        <is>
          <t>Do NOT look at holdout FE fit to retune constitutive laws; holdout = within-study only, not external study independent validation.</t>
        </is>
      </c>
    </row>
    <row r="11" ht="33" customHeight="1">
      <c r="A11" s="3" t="inlineStr">
        <is>
          <t>Geometry flag</t>
        </is>
      </c>
      <c r="B11" s="2" t="inlineStr">
        <is>
          <t>B11 has different support arrangement. Source Fig 1 must be implemented separately; do not force generic support.</t>
        </is>
      </c>
    </row>
    <row r="12" ht="33" customHeight="1">
      <c r="A12" s="3" t="inlineStr">
        <is>
          <t>Rebar flag</t>
        </is>
      </c>
      <c r="B12" s="2" t="inlineStr">
        <is>
          <t>Top bars #3 vs #4 ambiguity in article picture/text: needs primary-figure verification; no silent assumption.</t>
        </is>
      </c>
    </row>
    <row r="13" ht="33" customHeight="1">
      <c r="A13" s="3" t="inlineStr">
        <is>
          <t>Batch 2 flag</t>
        </is>
      </c>
      <c r="B13" s="2" t="inlineStr">
        <is>
          <t>Mean Ec=47.3 GPa, fc=153.2 MPa and strain peak .0032 leads slightly negative nominal compression inelastic strain at peak; require physical repair/evidence audit before CDP table.</t>
        </is>
      </c>
    </row>
    <row r="14" ht="33" customHeight="1">
      <c r="A14" s="3" t="inlineStr">
        <is>
          <t>HSS flag</t>
        </is>
      </c>
      <c r="B14" s="2" t="inlineStr">
        <is>
          <t>Steel hardening strain path not fully reported; do not invent law from fy and fu alone.</t>
        </is>
      </c>
    </row>
    <row r="15" ht="33" customHeight="1">
      <c r="A15" s="3" t="inlineStr">
        <is>
          <t>Mesh flag</t>
        </is>
      </c>
      <c r="B15" s="2" t="inlineStr">
        <is>
          <t>15 / 20 / 30 mm are proposed design levels, NOT literature-reported values; sufficient element quality + hourglass + load/energy checks required.</t>
        </is>
      </c>
    </row>
    <row r="16" ht="33" customHeight="1">
      <c r="A16" s="3" t="inlineStr">
        <is>
          <t>Damage flag</t>
        </is>
      </c>
      <c r="B16" s="2" t="inlineStr">
        <is>
          <t>dt/dc not identified uniquely from monotonic envelopes. Do not invent damage parameters or use damage laws without a documented rule.</t>
        </is>
      </c>
    </row>
    <row r="17" ht="33" customHeight="1">
      <c r="A17" s="3" t="inlineStr">
        <is>
          <t>Status</t>
        </is>
      </c>
      <c r="B17" s="2" t="inlineStr">
        <is>
          <t>PLAN ONLY / ZERO ABAQUS EXECUTIONS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10" customWidth="1" min="4" max="4"/>
    <col width="12" customWidth="1" min="5" max="5"/>
    <col width="12" customWidth="1" min="6" max="6"/>
    <col width="8" customWidth="1" min="7" max="7"/>
    <col width="17" customWidth="1" min="8" max="8"/>
    <col width="22" customWidth="1" min="9" max="9"/>
    <col width="16" customWidth="1" min="10" max="10"/>
    <col width="18" customWidth="1" min="11" max="11"/>
    <col width="46" customWidth="1" min="12" max="12"/>
    <col width="48" customWidth="1" min="13" max="13"/>
  </cols>
  <sheetData>
    <row r="1" ht="36" customHeight="1">
      <c r="A1" s="4" t="inlineStr">
        <is>
          <t>Sample ID</t>
        </is>
      </c>
      <c r="B1" s="4" t="inlineStr">
        <is>
          <t>Original specimen ID (normalized)</t>
        </is>
      </c>
      <c r="C1" s="4" t="inlineStr">
        <is>
          <t>Vf (%)</t>
        </is>
      </c>
      <c r="D1" s="4" t="inlineStr">
        <is>
          <t>Batch ID</t>
        </is>
      </c>
      <c r="E1" s="4" t="inlineStr">
        <is>
          <t>Stirrup</t>
        </is>
      </c>
      <c r="F1" s="4" t="inlineStr">
        <is>
          <t>rho_sv (%)</t>
        </is>
      </c>
      <c r="G1" s="4" t="inlineStr">
        <is>
          <t>a/d</t>
        </is>
      </c>
      <c r="H1" s="4" t="inlineStr">
        <is>
          <t>Vult_exp (kN)</t>
        </is>
      </c>
      <c r="I1" s="4" t="inlineStr">
        <is>
          <t>Delta_peak_exp (mm)</t>
        </is>
      </c>
      <c r="J1" s="4" t="inlineStr">
        <is>
          <t>Failure mode</t>
        </is>
      </c>
      <c r="K1" s="4" t="inlineStr">
        <is>
          <t>Cohort</t>
        </is>
      </c>
      <c r="L1" s="4" t="inlineStr">
        <is>
          <t>Source</t>
        </is>
      </c>
      <c r="M1" s="4" t="inlineStr">
        <is>
          <t>Special notes</t>
        </is>
      </c>
    </row>
    <row r="2" ht="37" customHeight="1">
      <c r="A2" s="5" t="inlineStr">
        <is>
          <t>B01</t>
        </is>
      </c>
      <c r="B2" s="5" t="inlineStr">
        <is>
          <t>Vf1-rho0-1.7</t>
        </is>
      </c>
      <c r="C2" s="5" t="n">
        <v>1</v>
      </c>
      <c r="D2" s="5" t="n">
        <v>3</v>
      </c>
      <c r="E2" s="5" t="inlineStr">
        <is>
          <t>NONE</t>
        </is>
      </c>
      <c r="F2" s="5" t="n">
        <v>0</v>
      </c>
      <c r="G2" s="5" t="n">
        <v>1.7</v>
      </c>
      <c r="H2" s="5" t="n">
        <v>884</v>
      </c>
      <c r="I2" s="5" t="n">
        <v>7.9</v>
      </c>
      <c r="J2" s="5" t="inlineStr">
        <is>
          <t>DC+SC</t>
        </is>
      </c>
      <c r="K2" s="5" t="inlineStr">
        <is>
          <t>VALIDATION</t>
        </is>
      </c>
      <c r="L2" s="5" t="inlineStr">
        <is>
          <t>https://doi.org/10.1016/j.engstruct.2025.121810</t>
        </is>
      </c>
      <c r="M2" s="5" t="inlineStr"/>
    </row>
    <row r="3" ht="37" customHeight="1">
      <c r="A3" s="6" t="inlineStr">
        <is>
          <t>B02</t>
        </is>
      </c>
      <c r="B3" s="6" t="inlineStr">
        <is>
          <t>Vf1-rho0-2.7</t>
        </is>
      </c>
      <c r="C3" s="6" t="n">
        <v>1</v>
      </c>
      <c r="D3" s="6" t="n">
        <v>3</v>
      </c>
      <c r="E3" s="6" t="inlineStr">
        <is>
          <t>NONE</t>
        </is>
      </c>
      <c r="F3" s="6" t="n">
        <v>0</v>
      </c>
      <c r="G3" s="6" t="n">
        <v>2.7</v>
      </c>
      <c r="H3" s="6" t="n">
        <v>478</v>
      </c>
      <c r="I3" s="6" t="n">
        <v>12.7</v>
      </c>
      <c r="J3" s="6" t="inlineStr">
        <is>
          <t>DT</t>
        </is>
      </c>
      <c r="K3" s="6" t="inlineStr">
        <is>
          <t>SCREEN</t>
        </is>
      </c>
      <c r="L3" s="6" t="inlineStr">
        <is>
          <t>https://doi.org/10.1016/j.engstruct.2025.121810</t>
        </is>
      </c>
      <c r="M3" s="6" t="inlineStr"/>
    </row>
    <row r="4" ht="37" customHeight="1">
      <c r="A4" s="5" t="inlineStr">
        <is>
          <t>B03</t>
        </is>
      </c>
      <c r="B4" s="5" t="inlineStr">
        <is>
          <t>Vf2-rho0-1.7</t>
        </is>
      </c>
      <c r="C4" s="5" t="n">
        <v>2</v>
      </c>
      <c r="D4" s="5" t="n">
        <v>2</v>
      </c>
      <c r="E4" s="5" t="inlineStr">
        <is>
          <t>NONE</t>
        </is>
      </c>
      <c r="F4" s="5" t="n">
        <v>0</v>
      </c>
      <c r="G4" s="5" t="n">
        <v>1.7</v>
      </c>
      <c r="H4" s="5" t="n">
        <v>1241</v>
      </c>
      <c r="I4" s="5" t="n">
        <v>14.6</v>
      </c>
      <c r="J4" s="5" t="inlineStr">
        <is>
          <t>DC+SC</t>
        </is>
      </c>
      <c r="K4" s="5" t="inlineStr">
        <is>
          <t>SCREEN</t>
        </is>
      </c>
      <c r="L4" s="5" t="inlineStr">
        <is>
          <t>https://doi.org/10.1016/j.engstruct.2025.121810</t>
        </is>
      </c>
      <c r="M4" s="5" t="inlineStr"/>
    </row>
    <row r="5" ht="37" customHeight="1">
      <c r="A5" s="6" t="inlineStr">
        <is>
          <t>B04</t>
        </is>
      </c>
      <c r="B5" s="6" t="inlineStr">
        <is>
          <t>Vf2-rho0-2.7</t>
        </is>
      </c>
      <c r="C5" s="6" t="n">
        <v>2</v>
      </c>
      <c r="D5" s="6" t="n">
        <v>2</v>
      </c>
      <c r="E5" s="6" t="inlineStr">
        <is>
          <t>NONE</t>
        </is>
      </c>
      <c r="F5" s="6" t="n">
        <v>0</v>
      </c>
      <c r="G5" s="6" t="n">
        <v>2.7</v>
      </c>
      <c r="H5" s="6" t="n">
        <v>862</v>
      </c>
      <c r="I5" s="6" t="n">
        <v>29.6</v>
      </c>
      <c r="J5" s="6" t="inlineStr">
        <is>
          <t>DT+DC+SC</t>
        </is>
      </c>
      <c r="K5" s="6" t="inlineStr">
        <is>
          <t>VALIDATION</t>
        </is>
      </c>
      <c r="L5" s="6" t="inlineStr">
        <is>
          <t>https://doi.org/10.1016/j.engstruct.2025.121810</t>
        </is>
      </c>
      <c r="M5" s="6" t="inlineStr"/>
    </row>
    <row r="6" ht="37" customHeight="1">
      <c r="A6" s="5" t="inlineStr">
        <is>
          <t>B05</t>
        </is>
      </c>
      <c r="B6" s="5" t="inlineStr">
        <is>
          <t>Vf1-rho0.6N-1.7</t>
        </is>
      </c>
      <c r="C6" s="5" t="n">
        <v>1</v>
      </c>
      <c r="D6" s="5" t="n">
        <v>3</v>
      </c>
      <c r="E6" s="5" t="inlineStr">
        <is>
          <t>NSS</t>
        </is>
      </c>
      <c r="F6" s="5" t="n">
        <v>0.6</v>
      </c>
      <c r="G6" s="5" t="n">
        <v>1.7</v>
      </c>
      <c r="H6" s="5" t="n">
        <v>1358</v>
      </c>
      <c r="I6" s="5" t="n">
        <v>14.1</v>
      </c>
      <c r="J6" s="5" t="inlineStr">
        <is>
          <t>DC+SC</t>
        </is>
      </c>
      <c r="K6" s="5" t="inlineStr">
        <is>
          <t>VALIDATION</t>
        </is>
      </c>
      <c r="L6" s="5" t="inlineStr">
        <is>
          <t>https://doi.org/10.1016/j.engstruct.2025.121810</t>
        </is>
      </c>
      <c r="M6" s="5" t="inlineStr"/>
    </row>
    <row r="7" ht="37" customHeight="1">
      <c r="A7" s="6" t="inlineStr">
        <is>
          <t>B06</t>
        </is>
      </c>
      <c r="B7" s="6" t="inlineStr">
        <is>
          <t>Vf1-rho0.6N-2.7</t>
        </is>
      </c>
      <c r="C7" s="6" t="n">
        <v>1</v>
      </c>
      <c r="D7" s="6" t="n">
        <v>3</v>
      </c>
      <c r="E7" s="6" t="inlineStr">
        <is>
          <t>NSS</t>
        </is>
      </c>
      <c r="F7" s="6" t="n">
        <v>0.6</v>
      </c>
      <c r="G7" s="6" t="n">
        <v>2.7</v>
      </c>
      <c r="H7" s="6" t="n">
        <v>888</v>
      </c>
      <c r="I7" s="6" t="n">
        <v>30</v>
      </c>
      <c r="J7" s="6" t="inlineStr">
        <is>
          <t>DT+DC+SC</t>
        </is>
      </c>
      <c r="K7" s="6" t="inlineStr">
        <is>
          <t>VALIDATION</t>
        </is>
      </c>
      <c r="L7" s="6" t="inlineStr">
        <is>
          <t>https://doi.org/10.1016/j.engstruct.2025.121810</t>
        </is>
      </c>
      <c r="M7" s="6" t="inlineStr"/>
    </row>
    <row r="8" ht="37" customHeight="1">
      <c r="A8" s="5" t="inlineStr">
        <is>
          <t>B07</t>
        </is>
      </c>
      <c r="B8" s="5" t="inlineStr">
        <is>
          <t>Vf2-rho0.6N-1.7</t>
        </is>
      </c>
      <c r="C8" s="5" t="n">
        <v>2</v>
      </c>
      <c r="D8" s="5" t="n">
        <v>1</v>
      </c>
      <c r="E8" s="5" t="inlineStr">
        <is>
          <t>NSS</t>
        </is>
      </c>
      <c r="F8" s="5" t="n">
        <v>0.6</v>
      </c>
      <c r="G8" s="5" t="n">
        <v>1.7</v>
      </c>
      <c r="H8" s="5" t="n">
        <v>1534</v>
      </c>
      <c r="I8" s="5" t="n">
        <v>18.9</v>
      </c>
      <c r="J8" s="5" t="inlineStr">
        <is>
          <t>DC+SC</t>
        </is>
      </c>
      <c r="K8" s="5" t="inlineStr">
        <is>
          <t>VALIDATION</t>
        </is>
      </c>
      <c r="L8" s="5" t="inlineStr">
        <is>
          <t>https://doi.org/10.1016/j.engstruct.2025.121810</t>
        </is>
      </c>
      <c r="M8" s="5" t="inlineStr"/>
    </row>
    <row r="9" ht="37" customHeight="1">
      <c r="A9" s="6" t="inlineStr">
        <is>
          <t>B08</t>
        </is>
      </c>
      <c r="B9" s="6" t="inlineStr">
        <is>
          <t>Vf2-rho0.6N-2.7</t>
        </is>
      </c>
      <c r="C9" s="6" t="n">
        <v>2</v>
      </c>
      <c r="D9" s="6" t="n">
        <v>1</v>
      </c>
      <c r="E9" s="6" t="inlineStr">
        <is>
          <t>NSS</t>
        </is>
      </c>
      <c r="F9" s="6" t="n">
        <v>0.6</v>
      </c>
      <c r="G9" s="6" t="n">
        <v>2.7</v>
      </c>
      <c r="H9" s="6" t="n">
        <v>1092</v>
      </c>
      <c r="I9" s="6" t="n">
        <v>38.9</v>
      </c>
      <c r="J9" s="6" t="inlineStr">
        <is>
          <t>DT+DC+SC</t>
        </is>
      </c>
      <c r="K9" s="6" t="inlineStr">
        <is>
          <t>SCREEN</t>
        </is>
      </c>
      <c r="L9" s="6" t="inlineStr">
        <is>
          <t>https://doi.org/10.1016/j.engstruct.2025.121810</t>
        </is>
      </c>
      <c r="M9" s="6" t="inlineStr"/>
    </row>
    <row r="10" ht="37" customHeight="1">
      <c r="A10" s="5" t="inlineStr">
        <is>
          <t>B09</t>
        </is>
      </c>
      <c r="B10" s="5" t="inlineStr">
        <is>
          <t>Vf1-rho0.7H-1.7</t>
        </is>
      </c>
      <c r="C10" s="5" t="n">
        <v>1</v>
      </c>
      <c r="D10" s="5" t="n">
        <v>3</v>
      </c>
      <c r="E10" s="5" t="inlineStr">
        <is>
          <t>HSS</t>
        </is>
      </c>
      <c r="F10" s="5" t="n">
        <v>0.7</v>
      </c>
      <c r="G10" s="5" t="n">
        <v>1.7</v>
      </c>
      <c r="H10" s="5" t="n">
        <v>1600</v>
      </c>
      <c r="I10" s="5" t="n">
        <v>15.8</v>
      </c>
      <c r="J10" s="5" t="inlineStr">
        <is>
          <t>DC+SC</t>
        </is>
      </c>
      <c r="K10" s="5" t="inlineStr">
        <is>
          <t>VALIDATION</t>
        </is>
      </c>
      <c r="L10" s="5" t="inlineStr">
        <is>
          <t>https://doi.org/10.1016/j.engstruct.2025.121810</t>
        </is>
      </c>
      <c r="M10" s="5" t="inlineStr"/>
    </row>
    <row r="11" ht="37" customHeight="1">
      <c r="A11" s="6" t="inlineStr">
        <is>
          <t>B10</t>
        </is>
      </c>
      <c r="B11" s="6" t="inlineStr">
        <is>
          <t>Vf1-rho0.7H-2.7</t>
        </is>
      </c>
      <c r="C11" s="6" t="n">
        <v>1</v>
      </c>
      <c r="D11" s="6" t="n">
        <v>3</v>
      </c>
      <c r="E11" s="6" t="inlineStr">
        <is>
          <t>HSS</t>
        </is>
      </c>
      <c r="F11" s="6" t="n">
        <v>0.7</v>
      </c>
      <c r="G11" s="6" t="n">
        <v>2.7</v>
      </c>
      <c r="H11" s="6" t="n">
        <v>1156</v>
      </c>
      <c r="I11" s="6" t="n">
        <v>35.9</v>
      </c>
      <c r="J11" s="6" t="inlineStr">
        <is>
          <t>DC+FL</t>
        </is>
      </c>
      <c r="K11" s="6" t="inlineStr">
        <is>
          <t>VALIDATION</t>
        </is>
      </c>
      <c r="L11" s="6" t="inlineStr">
        <is>
          <t>https://doi.org/10.1016/j.engstruct.2025.121810</t>
        </is>
      </c>
      <c r="M11" s="6" t="inlineStr"/>
    </row>
    <row r="12" ht="37" customHeight="1">
      <c r="A12" s="5" t="inlineStr">
        <is>
          <t>B11</t>
        </is>
      </c>
      <c r="B12" s="5" t="inlineStr">
        <is>
          <t>Vf1-rho0.4H-2.7</t>
        </is>
      </c>
      <c r="C12" s="5" t="n">
        <v>1</v>
      </c>
      <c r="D12" s="5" t="n">
        <v>3</v>
      </c>
      <c r="E12" s="5" t="inlineStr">
        <is>
          <t>HSS</t>
        </is>
      </c>
      <c r="F12" s="5" t="n">
        <v>0.4</v>
      </c>
      <c r="G12" s="5" t="n">
        <v>2.7</v>
      </c>
      <c r="H12" s="5" t="n">
        <v>1125</v>
      </c>
      <c r="I12" s="5" t="n">
        <v>23.1</v>
      </c>
      <c r="J12" s="5" t="inlineStr">
        <is>
          <t>DC+FL</t>
        </is>
      </c>
      <c r="K12" s="5" t="inlineStr">
        <is>
          <t>VALIDATION</t>
        </is>
      </c>
      <c r="L12" s="5" t="inlineStr">
        <is>
          <t>https://doi.org/10.1016/j.engstruct.2025.121810</t>
        </is>
      </c>
      <c r="M12" s="5" t="inlineStr">
        <is>
          <t>Special support arrangement in Fig 1</t>
        </is>
      </c>
    </row>
    <row r="13" ht="37" customHeight="1">
      <c r="A13" s="6" t="inlineStr">
        <is>
          <t>B12</t>
        </is>
      </c>
      <c r="B13" s="6" t="inlineStr">
        <is>
          <t>Vf1-rho0.5H-2.7</t>
        </is>
      </c>
      <c r="C13" s="6" t="n">
        <v>1</v>
      </c>
      <c r="D13" s="6" t="n">
        <v>3</v>
      </c>
      <c r="E13" s="6" t="inlineStr">
        <is>
          <t>HSS</t>
        </is>
      </c>
      <c r="F13" s="6" t="n">
        <v>0.5</v>
      </c>
      <c r="G13" s="6" t="n">
        <v>2.7</v>
      </c>
      <c r="H13" s="6" t="n">
        <v>1134</v>
      </c>
      <c r="I13" s="6" t="n">
        <v>38.3</v>
      </c>
      <c r="J13" s="6" t="inlineStr">
        <is>
          <t>DC+FL</t>
        </is>
      </c>
      <c r="K13" s="6" t="inlineStr">
        <is>
          <t>SCREEN</t>
        </is>
      </c>
      <c r="L13" s="6" t="inlineStr">
        <is>
          <t>https://doi.org/10.1016/j.engstruct.2025.121810</t>
        </is>
      </c>
      <c r="M13" s="6" t="inlineStr"/>
    </row>
  </sheetData>
  <autoFilter ref="A1: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35" customWidth="1" min="3" max="3"/>
    <col width="55" customWidth="1" min="4" max="4"/>
    <col width="70" customWidth="1" min="5" max="5"/>
    <col width="15" customWidth="1" min="6" max="6"/>
    <col width="64" customWidth="1" min="7" max="7"/>
    <col width="66" customWidth="1" min="8" max="8"/>
  </cols>
  <sheetData>
    <row r="1" ht="36" customHeight="1">
      <c r="A1" s="4" t="inlineStr">
        <is>
          <t>Model ID</t>
        </is>
      </c>
      <c r="B1" s="4" t="inlineStr">
        <is>
          <t>Mode</t>
        </is>
      </c>
      <c r="C1" s="4" t="inlineStr">
        <is>
          <t>Reference</t>
        </is>
      </c>
      <c r="D1" s="4" t="inlineStr">
        <is>
          <t>Response</t>
        </is>
      </c>
      <c r="E1" s="4" t="inlineStr">
        <is>
          <t>Implementation</t>
        </is>
      </c>
      <c r="F1" s="4" t="inlineStr">
        <is>
          <t>Priority</t>
        </is>
      </c>
      <c r="G1" s="4" t="inlineStr">
        <is>
          <t>Origin URL</t>
        </is>
      </c>
      <c r="H1" s="4" t="inlineStr">
        <is>
          <t>Data availability / caution</t>
        </is>
      </c>
    </row>
    <row r="2" ht="60" customHeight="1">
      <c r="A2" s="5" t="inlineStr">
        <is>
          <t>T1_TIAN_FAKEH</t>
        </is>
      </c>
      <c r="B2" s="5" t="inlineStr">
        <is>
          <t>TENSION</t>
        </is>
      </c>
      <c r="C2" s="5" t="inlineStr">
        <is>
          <t>Tian et al. 2023 + Fakeh et al. 2025</t>
        </is>
      </c>
      <c r="D2" s="5" t="inlineStr">
        <is>
          <t>Two-stage rising + linear descending extension and residual stress</t>
        </is>
      </c>
      <c r="E2" s="5" t="inlineStr">
        <is>
          <t>Pre-localization sigma-eps; post-localization sigma-w via validated crack displacement</t>
        </is>
      </c>
      <c r="F2" s="5" t="inlineStr">
        <is>
          <t>PRIMARY</t>
        </is>
      </c>
      <c r="G2" s="5" t="inlineStr">
        <is>
          <t>https://doi.org/10.1016/j.engstruct.2025.120154 | https://doi.org/10.1016/j.conbuildmat.2023.131634</t>
        </is>
      </c>
      <c r="H2" s="5" t="inlineStr">
        <is>
          <t>Use batch f_t and critical strains; conversion depends on characteristic length and crack mechanics.</t>
        </is>
      </c>
    </row>
    <row r="3" ht="60" customHeight="1">
      <c r="A3" s="6" t="inlineStr">
        <is>
          <t>T2_ZHAO</t>
        </is>
      </c>
      <c r="B3" s="6" t="inlineStr">
        <is>
          <t>TENSION</t>
        </is>
      </c>
      <c r="C3" s="6" t="inlineStr">
        <is>
          <t>Zhao et al. 2013 as compared in Fakeh 2025</t>
        </is>
      </c>
      <c r="D3" s="6" t="inlineStr">
        <is>
          <t>Elastic + tensile hardening + power-law softening</t>
        </is>
      </c>
      <c r="E3" s="6" t="inlineStr">
        <is>
          <t>Convert post-crack to crack displacement with explicit regularization</t>
        </is>
      </c>
      <c r="F3" s="6" t="inlineStr">
        <is>
          <t>COMPARATOR</t>
        </is>
      </c>
      <c r="G3" s="6" t="inlineStr">
        <is>
          <t>https://doi.org/10.1016/j.engstruct.2025.120154 | https://doi.org/10.1016/j.conbuildmat.2013.07.061</t>
        </is>
      </c>
      <c r="H3" s="6" t="inlineStr">
        <is>
          <t>No universal postpeak Gf value; avoid misleading area under sigma-eps as a mesh-objective fracture energy.</t>
        </is>
      </c>
    </row>
    <row r="4" ht="60" customHeight="1">
      <c r="A4" s="5" t="inlineStr">
        <is>
          <t>C1_GRAYBEAL_FAKEH</t>
        </is>
      </c>
      <c r="B4" s="5" t="inlineStr">
        <is>
          <t>COMPRESSION</t>
        </is>
      </c>
      <c r="C4" s="5" t="inlineStr">
        <is>
          <t>Graybeal 2007 + Prem et al. 2015 modified by Fakeh 2025</t>
        </is>
      </c>
      <c r="D4" s="5" t="inlineStr">
        <is>
          <t>Nonlinear ascending + added descending line</t>
        </is>
      </c>
      <c r="E4" s="5" t="inlineStr">
        <is>
          <t>Convert to compression hardening sigma-eps_inel, check monotonicity</t>
        </is>
      </c>
      <c r="F4" s="5" t="inlineStr">
        <is>
          <t>PRIMARY</t>
        </is>
      </c>
      <c r="G4" s="5" t="inlineStr">
        <is>
          <t>https://doi.org/10.1016/j.engstruct.2025.120154</t>
        </is>
      </c>
      <c r="H4" s="5" t="inlineStr">
        <is>
          <t>Post-peak added by Fakeh (not part of original Graybeal model).</t>
        </is>
      </c>
    </row>
    <row r="5" ht="60" customHeight="1">
      <c r="A5" s="6" t="inlineStr">
        <is>
          <t>C2_ZHAO</t>
        </is>
      </c>
      <c r="B5" s="6" t="inlineStr">
        <is>
          <t>COMPRESSION</t>
        </is>
      </c>
      <c r="C5" s="6" t="inlineStr">
        <is>
          <t>Zhao et al. 2013</t>
        </is>
      </c>
      <c r="D5" s="6" t="inlineStr">
        <is>
          <t>Ascending near elastic + descending</t>
        </is>
      </c>
      <c r="E5" s="6" t="inlineStr">
        <is>
          <t>Compression hardening with E from actual batch</t>
        </is>
      </c>
      <c r="F5" s="6" t="inlineStr">
        <is>
          <t>COMPARATOR</t>
        </is>
      </c>
      <c r="G5" s="6" t="inlineStr">
        <is>
          <t>https://doi.org/10.1016/j.engstruct.2025.120154 | https://doi.org/10.1016/j.conbuildmat.2013.07.061</t>
        </is>
      </c>
      <c r="H5" s="6" t="inlineStr">
        <is>
          <t>Enforce stress continuity and nonnegative inelastic strain.</t>
        </is>
      </c>
    </row>
    <row r="6" ht="60" customHeight="1">
      <c r="A6" s="5" t="inlineStr">
        <is>
          <t>C3_WANG</t>
        </is>
      </c>
      <c r="B6" s="5" t="inlineStr">
        <is>
          <t>COMPRESSION</t>
        </is>
      </c>
      <c r="C6" s="5" t="inlineStr">
        <is>
          <t>Wang et al. 2016</t>
        </is>
      </c>
      <c r="D6" s="5" t="inlineStr">
        <is>
          <t>Parabolic ascending; residual descending</t>
        </is>
      </c>
      <c r="E6" s="5" t="inlineStr">
        <is>
          <t>Compression hardening with measured Ec consistency</t>
        </is>
      </c>
      <c r="F6" s="5" t="inlineStr">
        <is>
          <t>COMPARATOR</t>
        </is>
      </c>
      <c r="G6" s="5" t="inlineStr">
        <is>
          <t>https://doi.org/10.1016/j.engstruct.2025.120154</t>
        </is>
      </c>
      <c r="H6" s="5" t="inlineStr">
        <is>
          <t>Expression originally for a different member/material context; do not treat as empirically confirmed for Hosseini batches.</t>
        </is>
      </c>
    </row>
    <row r="7" ht="60" customHeight="1">
      <c r="A7" s="6" t="inlineStr">
        <is>
          <t>C4_YAN</t>
        </is>
      </c>
      <c r="B7" s="6" t="inlineStr">
        <is>
          <t>COMPRESSION</t>
        </is>
      </c>
      <c r="C7" s="6" t="inlineStr">
        <is>
          <t>Yan 2010</t>
        </is>
      </c>
      <c r="D7" s="6" t="inlineStr">
        <is>
          <t>Rational ascending/descending</t>
        </is>
      </c>
      <c r="E7" s="6" t="inlineStr">
        <is>
          <t>Compression hardening</t>
        </is>
      </c>
      <c r="F7" s="6" t="inlineStr">
        <is>
          <t>COMPARATOR</t>
        </is>
      </c>
      <c r="G7" s="6" t="inlineStr">
        <is>
          <t>https://doi.org/10.1016/j.engstruct.2025.120154</t>
        </is>
      </c>
      <c r="H7" s="6" t="inlineStr">
        <is>
          <t>Verify equation OCR against Fakeh Table 3 image before generation.</t>
        </is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24" customWidth="1" min="4" max="4"/>
    <col width="28" customWidth="1" min="5" max="5"/>
    <col width="13" customWidth="1" min="6" max="6"/>
    <col width="13" customWidth="1" min="7" max="7"/>
    <col width="12" customWidth="1" min="8" max="8"/>
    <col width="8" customWidth="1" min="9" max="9"/>
    <col width="9" customWidth="1" min="10" max="10"/>
    <col width="9" customWidth="1" min="11" max="11"/>
    <col width="28" customWidth="1" min="12" max="12"/>
    <col width="30" customWidth="1" min="13" max="13"/>
    <col width="28" customWidth="1" min="14" max="14"/>
    <col width="62" customWidth="1" min="15" max="15"/>
    <col width="24" customWidth="1" min="16" max="16"/>
    <col width="63" customWidth="1" min="17" max="17"/>
  </cols>
  <sheetData>
    <row r="1" ht="36" customHeight="1">
      <c r="A1" s="4" t="inlineStr">
        <is>
          <t>Job ID</t>
        </is>
      </c>
      <c r="B1" s="4" t="inlineStr">
        <is>
          <t>Stage</t>
        </is>
      </c>
      <c r="C1" s="4" t="inlineStr">
        <is>
          <t>Specimen</t>
        </is>
      </c>
      <c r="D1" s="4" t="inlineStr">
        <is>
          <t>Tension law</t>
        </is>
      </c>
      <c r="E1" s="4" t="inlineStr">
        <is>
          <t>Compression law</t>
        </is>
      </c>
      <c r="F1" s="4" t="inlineStr">
        <is>
          <t>Mesh h (mm)</t>
        </is>
      </c>
      <c r="G1" s="4" t="inlineStr">
        <is>
          <t>psi (deg)</t>
        </is>
      </c>
      <c r="H1" s="4" t="inlineStr">
        <is>
          <t>fb0/fc0</t>
        </is>
      </c>
      <c r="I1" s="4" t="inlineStr">
        <is>
          <t>e</t>
        </is>
      </c>
      <c r="J1" s="4" t="inlineStr">
        <is>
          <t>Kc</t>
        </is>
      </c>
      <c r="K1" s="4" t="inlineStr">
        <is>
          <t>mu</t>
        </is>
      </c>
      <c r="L1" s="4" t="inlineStr">
        <is>
          <t>Steel model</t>
        </is>
      </c>
      <c r="M1" s="4" t="inlineStr">
        <is>
          <t>Gate</t>
        </is>
      </c>
      <c r="N1" s="4" t="inlineStr">
        <is>
          <t>Only changed field</t>
        </is>
      </c>
      <c r="O1" s="4" t="inlineStr">
        <is>
          <t>Purpose</t>
        </is>
      </c>
      <c r="P1" s="4" t="inlineStr">
        <is>
          <t>Status</t>
        </is>
      </c>
      <c r="Q1" s="4" t="inlineStr">
        <is>
          <t>Sources</t>
        </is>
      </c>
    </row>
    <row r="2" ht="37" customHeight="1">
      <c r="A2" s="5" t="inlineStr">
        <is>
          <t>UHPC_001</t>
        </is>
      </c>
      <c r="B2" s="5" t="inlineStr">
        <is>
          <t>P1_TENSION_SCREEN</t>
        </is>
      </c>
      <c r="C2" s="5" t="inlineStr">
        <is>
          <t>B02</t>
        </is>
      </c>
      <c r="D2" s="5" t="inlineStr">
        <is>
          <t>T1_TIAN_FAKEH</t>
        </is>
      </c>
      <c r="E2" s="5" t="inlineStr">
        <is>
          <t>C1_GRAYBEAL_FAKEH</t>
        </is>
      </c>
      <c r="F2" s="5" t="n">
        <v>20</v>
      </c>
      <c r="G2" s="5" t="n">
        <v>55</v>
      </c>
      <c r="H2" s="5" t="n">
        <v>3</v>
      </c>
      <c r="I2" s="5" t="n">
        <v>0.1</v>
      </c>
      <c r="J2" s="5" t="n">
        <v>0.6666666666666666</v>
      </c>
      <c r="K2" s="5" t="n">
        <v>0</v>
      </c>
      <c r="L2" s="5" t="inlineStr">
        <is>
          <t>STEEL_BASE</t>
        </is>
      </c>
      <c r="M2" s="5" t="inlineStr">
        <is>
          <t>GATE_1</t>
        </is>
      </c>
      <c r="N2" s="5" t="inlineStr">
        <is>
          <t>Tension model only</t>
        </is>
      </c>
      <c r="O2" s="5" t="inlineStr">
        <is>
          <t>T1/T2 with C1 on four contrasting mechanisms</t>
        </is>
      </c>
      <c r="P2" s="5" t="inlineStr">
        <is>
          <t>PLANNED_NOT_RUN</t>
        </is>
      </c>
      <c r="Q2" s="5" t="inlineStr">
        <is>
          <t>https://doi.org/10.1016/j.engstruct.2025.121810 | https://doi.org/10.1016/j.engstruct.2025.120154</t>
        </is>
      </c>
    </row>
    <row r="3" ht="37" customHeight="1">
      <c r="A3" s="6" t="inlineStr">
        <is>
          <t>UHPC_002</t>
        </is>
      </c>
      <c r="B3" s="6" t="inlineStr">
        <is>
          <t>P1_TENSION_SCREEN</t>
        </is>
      </c>
      <c r="C3" s="6" t="inlineStr">
        <is>
          <t>B02</t>
        </is>
      </c>
      <c r="D3" s="6" t="inlineStr">
        <is>
          <t>T2_ZHAO</t>
        </is>
      </c>
      <c r="E3" s="6" t="inlineStr">
        <is>
          <t>C1_GRAYBEAL_FAKEH</t>
        </is>
      </c>
      <c r="F3" s="6" t="n">
        <v>20</v>
      </c>
      <c r="G3" s="6" t="n">
        <v>55</v>
      </c>
      <c r="H3" s="6" t="n">
        <v>3</v>
      </c>
      <c r="I3" s="6" t="n">
        <v>0.1</v>
      </c>
      <c r="J3" s="6" t="n">
        <v>0.6666666666666666</v>
      </c>
      <c r="K3" s="6" t="n">
        <v>0</v>
      </c>
      <c r="L3" s="6" t="inlineStr">
        <is>
          <t>STEEL_BASE</t>
        </is>
      </c>
      <c r="M3" s="6" t="inlineStr">
        <is>
          <t>GATE_1</t>
        </is>
      </c>
      <c r="N3" s="6" t="inlineStr">
        <is>
          <t>Tension model only</t>
        </is>
      </c>
      <c r="O3" s="6" t="inlineStr">
        <is>
          <t>T1/T2 with C1 on four contrasting mechanisms</t>
        </is>
      </c>
      <c r="P3" s="6" t="inlineStr">
        <is>
          <t>PLANNED_NOT_RUN</t>
        </is>
      </c>
      <c r="Q3" s="6" t="inlineStr">
        <is>
          <t>https://doi.org/10.1016/j.engstruct.2025.121810 | https://doi.org/10.1016/j.engstruct.2025.120154</t>
        </is>
      </c>
    </row>
    <row r="4" ht="37" customHeight="1">
      <c r="A4" s="5" t="inlineStr">
        <is>
          <t>UHPC_003</t>
        </is>
      </c>
      <c r="B4" s="5" t="inlineStr">
        <is>
          <t>P1_TENSION_SCREEN</t>
        </is>
      </c>
      <c r="C4" s="5" t="inlineStr">
        <is>
          <t>B03</t>
        </is>
      </c>
      <c r="D4" s="5" t="inlineStr">
        <is>
          <t>T1_TIAN_FAKEH</t>
        </is>
      </c>
      <c r="E4" s="5" t="inlineStr">
        <is>
          <t>C1_GRAYBEAL_FAKEH</t>
        </is>
      </c>
      <c r="F4" s="5" t="n">
        <v>20</v>
      </c>
      <c r="G4" s="5" t="n">
        <v>55</v>
      </c>
      <c r="H4" s="5" t="n">
        <v>3</v>
      </c>
      <c r="I4" s="5" t="n">
        <v>0.1</v>
      </c>
      <c r="J4" s="5" t="n">
        <v>0.6666666666666666</v>
      </c>
      <c r="K4" s="5" t="n">
        <v>0</v>
      </c>
      <c r="L4" s="5" t="inlineStr">
        <is>
          <t>STEEL_BASE</t>
        </is>
      </c>
      <c r="M4" s="5" t="inlineStr">
        <is>
          <t>GATE_1</t>
        </is>
      </c>
      <c r="N4" s="5" t="inlineStr">
        <is>
          <t>Tension model only</t>
        </is>
      </c>
      <c r="O4" s="5" t="inlineStr">
        <is>
          <t>T1/T2 with C1 on four contrasting mechanisms</t>
        </is>
      </c>
      <c r="P4" s="5" t="inlineStr">
        <is>
          <t>PLANNED_NOT_RUN</t>
        </is>
      </c>
      <c r="Q4" s="5" t="inlineStr">
        <is>
          <t>https://doi.org/10.1016/j.engstruct.2025.121810 | https://doi.org/10.1016/j.engstruct.2025.120154</t>
        </is>
      </c>
    </row>
    <row r="5" ht="37" customHeight="1">
      <c r="A5" s="6" t="inlineStr">
        <is>
          <t>UHPC_004</t>
        </is>
      </c>
      <c r="B5" s="6" t="inlineStr">
        <is>
          <t>P1_TENSION_SCREEN</t>
        </is>
      </c>
      <c r="C5" s="6" t="inlineStr">
        <is>
          <t>B03</t>
        </is>
      </c>
      <c r="D5" s="6" t="inlineStr">
        <is>
          <t>T2_ZHAO</t>
        </is>
      </c>
      <c r="E5" s="6" t="inlineStr">
        <is>
          <t>C1_GRAYBEAL_FAKEH</t>
        </is>
      </c>
      <c r="F5" s="6" t="n">
        <v>20</v>
      </c>
      <c r="G5" s="6" t="n">
        <v>55</v>
      </c>
      <c r="H5" s="6" t="n">
        <v>3</v>
      </c>
      <c r="I5" s="6" t="n">
        <v>0.1</v>
      </c>
      <c r="J5" s="6" t="n">
        <v>0.6666666666666666</v>
      </c>
      <c r="K5" s="6" t="n">
        <v>0</v>
      </c>
      <c r="L5" s="6" t="inlineStr">
        <is>
          <t>STEEL_BASE</t>
        </is>
      </c>
      <c r="M5" s="6" t="inlineStr">
        <is>
          <t>GATE_1</t>
        </is>
      </c>
      <c r="N5" s="6" t="inlineStr">
        <is>
          <t>Tension model only</t>
        </is>
      </c>
      <c r="O5" s="6" t="inlineStr">
        <is>
          <t>T1/T2 with C1 on four contrasting mechanisms</t>
        </is>
      </c>
      <c r="P5" s="6" t="inlineStr">
        <is>
          <t>PLANNED_NOT_RUN</t>
        </is>
      </c>
      <c r="Q5" s="6" t="inlineStr">
        <is>
          <t>https://doi.org/10.1016/j.engstruct.2025.121810 | https://doi.org/10.1016/j.engstruct.2025.120154</t>
        </is>
      </c>
    </row>
    <row r="6" ht="37" customHeight="1">
      <c r="A6" s="5" t="inlineStr">
        <is>
          <t>UHPC_005</t>
        </is>
      </c>
      <c r="B6" s="5" t="inlineStr">
        <is>
          <t>P1_TENSION_SCREEN</t>
        </is>
      </c>
      <c r="C6" s="5" t="inlineStr">
        <is>
          <t>B08</t>
        </is>
      </c>
      <c r="D6" s="5" t="inlineStr">
        <is>
          <t>T1_TIAN_FAKEH</t>
        </is>
      </c>
      <c r="E6" s="5" t="inlineStr">
        <is>
          <t>C1_GRAYBEAL_FAKEH</t>
        </is>
      </c>
      <c r="F6" s="5" t="n">
        <v>20</v>
      </c>
      <c r="G6" s="5" t="n">
        <v>55</v>
      </c>
      <c r="H6" s="5" t="n">
        <v>3</v>
      </c>
      <c r="I6" s="5" t="n">
        <v>0.1</v>
      </c>
      <c r="J6" s="5" t="n">
        <v>0.6666666666666666</v>
      </c>
      <c r="K6" s="5" t="n">
        <v>0</v>
      </c>
      <c r="L6" s="5" t="inlineStr">
        <is>
          <t>STEEL_BASE</t>
        </is>
      </c>
      <c r="M6" s="5" t="inlineStr">
        <is>
          <t>GATE_1</t>
        </is>
      </c>
      <c r="N6" s="5" t="inlineStr">
        <is>
          <t>Tension model only</t>
        </is>
      </c>
      <c r="O6" s="5" t="inlineStr">
        <is>
          <t>T1/T2 with C1 on four contrasting mechanisms</t>
        </is>
      </c>
      <c r="P6" s="5" t="inlineStr">
        <is>
          <t>PLANNED_NOT_RUN</t>
        </is>
      </c>
      <c r="Q6" s="5" t="inlineStr">
        <is>
          <t>https://doi.org/10.1016/j.engstruct.2025.121810 | https://doi.org/10.1016/j.engstruct.2025.120154</t>
        </is>
      </c>
    </row>
    <row r="7" ht="37" customHeight="1">
      <c r="A7" s="6" t="inlineStr">
        <is>
          <t>UHPC_006</t>
        </is>
      </c>
      <c r="B7" s="6" t="inlineStr">
        <is>
          <t>P1_TENSION_SCREEN</t>
        </is>
      </c>
      <c r="C7" s="6" t="inlineStr">
        <is>
          <t>B08</t>
        </is>
      </c>
      <c r="D7" s="6" t="inlineStr">
        <is>
          <t>T2_ZHAO</t>
        </is>
      </c>
      <c r="E7" s="6" t="inlineStr">
        <is>
          <t>C1_GRAYBEAL_FAKEH</t>
        </is>
      </c>
      <c r="F7" s="6" t="n">
        <v>20</v>
      </c>
      <c r="G7" s="6" t="n">
        <v>55</v>
      </c>
      <c r="H7" s="6" t="n">
        <v>3</v>
      </c>
      <c r="I7" s="6" t="n">
        <v>0.1</v>
      </c>
      <c r="J7" s="6" t="n">
        <v>0.6666666666666666</v>
      </c>
      <c r="K7" s="6" t="n">
        <v>0</v>
      </c>
      <c r="L7" s="6" t="inlineStr">
        <is>
          <t>STEEL_BASE</t>
        </is>
      </c>
      <c r="M7" s="6" t="inlineStr">
        <is>
          <t>GATE_1</t>
        </is>
      </c>
      <c r="N7" s="6" t="inlineStr">
        <is>
          <t>Tension model only</t>
        </is>
      </c>
      <c r="O7" s="6" t="inlineStr">
        <is>
          <t>T1/T2 with C1 on four contrasting mechanisms</t>
        </is>
      </c>
      <c r="P7" s="6" t="inlineStr">
        <is>
          <t>PLANNED_NOT_RUN</t>
        </is>
      </c>
      <c r="Q7" s="6" t="inlineStr">
        <is>
          <t>https://doi.org/10.1016/j.engstruct.2025.121810 | https://doi.org/10.1016/j.engstruct.2025.120154</t>
        </is>
      </c>
    </row>
    <row r="8" ht="37" customHeight="1">
      <c r="A8" s="5" t="inlineStr">
        <is>
          <t>UHPC_007</t>
        </is>
      </c>
      <c r="B8" s="5" t="inlineStr">
        <is>
          <t>P1_TENSION_SCREEN</t>
        </is>
      </c>
      <c r="C8" s="5" t="inlineStr">
        <is>
          <t>B12</t>
        </is>
      </c>
      <c r="D8" s="5" t="inlineStr">
        <is>
          <t>T1_TIAN_FAKEH</t>
        </is>
      </c>
      <c r="E8" s="5" t="inlineStr">
        <is>
          <t>C1_GRAYBEAL_FAKEH</t>
        </is>
      </c>
      <c r="F8" s="5" t="n">
        <v>20</v>
      </c>
      <c r="G8" s="5" t="n">
        <v>55</v>
      </c>
      <c r="H8" s="5" t="n">
        <v>3</v>
      </c>
      <c r="I8" s="5" t="n">
        <v>0.1</v>
      </c>
      <c r="J8" s="5" t="n">
        <v>0.6666666666666666</v>
      </c>
      <c r="K8" s="5" t="n">
        <v>0</v>
      </c>
      <c r="L8" s="5" t="inlineStr">
        <is>
          <t>STEEL_BASE</t>
        </is>
      </c>
      <c r="M8" s="5" t="inlineStr">
        <is>
          <t>GATE_1</t>
        </is>
      </c>
      <c r="N8" s="5" t="inlineStr">
        <is>
          <t>Tension model only</t>
        </is>
      </c>
      <c r="O8" s="5" t="inlineStr">
        <is>
          <t>T1/T2 with C1 on four contrasting mechanisms</t>
        </is>
      </c>
      <c r="P8" s="5" t="inlineStr">
        <is>
          <t>PLANNED_NOT_RUN</t>
        </is>
      </c>
      <c r="Q8" s="5" t="inlineStr">
        <is>
          <t>https://doi.org/10.1016/j.engstruct.2025.121810 | https://doi.org/10.1016/j.engstruct.2025.120154</t>
        </is>
      </c>
    </row>
    <row r="9" ht="37" customHeight="1">
      <c r="A9" s="6" t="inlineStr">
        <is>
          <t>UHPC_008</t>
        </is>
      </c>
      <c r="B9" s="6" t="inlineStr">
        <is>
          <t>P1_TENSION_SCREEN</t>
        </is>
      </c>
      <c r="C9" s="6" t="inlineStr">
        <is>
          <t>B12</t>
        </is>
      </c>
      <c r="D9" s="6" t="inlineStr">
        <is>
          <t>T2_ZHAO</t>
        </is>
      </c>
      <c r="E9" s="6" t="inlineStr">
        <is>
          <t>C1_GRAYBEAL_FAKEH</t>
        </is>
      </c>
      <c r="F9" s="6" t="n">
        <v>20</v>
      </c>
      <c r="G9" s="6" t="n">
        <v>55</v>
      </c>
      <c r="H9" s="6" t="n">
        <v>3</v>
      </c>
      <c r="I9" s="6" t="n">
        <v>0.1</v>
      </c>
      <c r="J9" s="6" t="n">
        <v>0.6666666666666666</v>
      </c>
      <c r="K9" s="6" t="n">
        <v>0</v>
      </c>
      <c r="L9" s="6" t="inlineStr">
        <is>
          <t>STEEL_BASE</t>
        </is>
      </c>
      <c r="M9" s="6" t="inlineStr">
        <is>
          <t>GATE_1</t>
        </is>
      </c>
      <c r="N9" s="6" t="inlineStr">
        <is>
          <t>Tension model only</t>
        </is>
      </c>
      <c r="O9" s="6" t="inlineStr">
        <is>
          <t>T1/T2 with C1 on four contrasting mechanisms</t>
        </is>
      </c>
      <c r="P9" s="6" t="inlineStr">
        <is>
          <t>PLANNED_NOT_RUN</t>
        </is>
      </c>
      <c r="Q9" s="6" t="inlineStr">
        <is>
          <t>https://doi.org/10.1016/j.engstruct.2025.121810 | https://doi.org/10.1016/j.engstruct.2025.120154</t>
        </is>
      </c>
    </row>
    <row r="10" ht="37" customHeight="1">
      <c r="A10" s="5" t="inlineStr">
        <is>
          <t>UHPC_009</t>
        </is>
      </c>
      <c r="B10" s="5" t="inlineStr">
        <is>
          <t>P2_COMPRESSION_SCREEN</t>
        </is>
      </c>
      <c r="C10" s="5" t="inlineStr">
        <is>
          <t>B02</t>
        </is>
      </c>
      <c r="D10" s="5" t="inlineStr">
        <is>
          <t>T_BEST_LOCKED</t>
        </is>
      </c>
      <c r="E10" s="5" t="inlineStr">
        <is>
          <t>C2_ZHAO</t>
        </is>
      </c>
      <c r="F10" s="5" t="n">
        <v>20</v>
      </c>
      <c r="G10" s="5" t="n">
        <v>55</v>
      </c>
      <c r="H10" s="5" t="n">
        <v>3</v>
      </c>
      <c r="I10" s="5" t="n">
        <v>0.1</v>
      </c>
      <c r="J10" s="5" t="n">
        <v>0.6666666666666666</v>
      </c>
      <c r="K10" s="5" t="n">
        <v>0</v>
      </c>
      <c r="L10" s="5" t="inlineStr">
        <is>
          <t>STEEL_BASE</t>
        </is>
      </c>
      <c r="M10" s="5" t="inlineStr">
        <is>
          <t>GATE_2</t>
        </is>
      </c>
      <c r="N10" s="5" t="inlineStr">
        <is>
          <t>Compression model only</t>
        </is>
      </c>
      <c r="O10" s="5" t="inlineStr">
        <is>
          <t>Only after best tensile model frozen from P1</t>
        </is>
      </c>
      <c r="P10" s="5" t="inlineStr">
        <is>
          <t>PLANNED_NOT_RUN</t>
        </is>
      </c>
      <c r="Q10" s="5" t="inlineStr">
        <is>
          <t>https://doi.org/10.1016/j.engstruct.2025.121810 | https://doi.org/10.1016/j.engstruct.2025.120154</t>
        </is>
      </c>
    </row>
    <row r="11" ht="37" customHeight="1">
      <c r="A11" s="6" t="inlineStr">
        <is>
          <t>UHPC_010</t>
        </is>
      </c>
      <c r="B11" s="6" t="inlineStr">
        <is>
          <t>P2_COMPRESSION_SCREEN</t>
        </is>
      </c>
      <c r="C11" s="6" t="inlineStr">
        <is>
          <t>B02</t>
        </is>
      </c>
      <c r="D11" s="6" t="inlineStr">
        <is>
          <t>T_BEST_LOCKED</t>
        </is>
      </c>
      <c r="E11" s="6" t="inlineStr">
        <is>
          <t>C3_WANG</t>
        </is>
      </c>
      <c r="F11" s="6" t="n">
        <v>20</v>
      </c>
      <c r="G11" s="6" t="n">
        <v>55</v>
      </c>
      <c r="H11" s="6" t="n">
        <v>3</v>
      </c>
      <c r="I11" s="6" t="n">
        <v>0.1</v>
      </c>
      <c r="J11" s="6" t="n">
        <v>0.6666666666666666</v>
      </c>
      <c r="K11" s="6" t="n">
        <v>0</v>
      </c>
      <c r="L11" s="6" t="inlineStr">
        <is>
          <t>STEEL_BASE</t>
        </is>
      </c>
      <c r="M11" s="6" t="inlineStr">
        <is>
          <t>GATE_2</t>
        </is>
      </c>
      <c r="N11" s="6" t="inlineStr">
        <is>
          <t>Compression model only</t>
        </is>
      </c>
      <c r="O11" s="6" t="inlineStr">
        <is>
          <t>Only after best tensile model frozen from P1</t>
        </is>
      </c>
      <c r="P11" s="6" t="inlineStr">
        <is>
          <t>PLANNED_NOT_RUN</t>
        </is>
      </c>
      <c r="Q11" s="6" t="inlineStr">
        <is>
          <t>https://doi.org/10.1016/j.engstruct.2025.121810 | https://doi.org/10.1016/j.engstruct.2025.120154</t>
        </is>
      </c>
    </row>
    <row r="12" ht="37" customHeight="1">
      <c r="A12" s="5" t="inlineStr">
        <is>
          <t>UHPC_011</t>
        </is>
      </c>
      <c r="B12" s="5" t="inlineStr">
        <is>
          <t>P2_COMPRESSION_SCREEN</t>
        </is>
      </c>
      <c r="C12" s="5" t="inlineStr">
        <is>
          <t>B02</t>
        </is>
      </c>
      <c r="D12" s="5" t="inlineStr">
        <is>
          <t>T_BEST_LOCKED</t>
        </is>
      </c>
      <c r="E12" s="5" t="inlineStr">
        <is>
          <t>C4_YAN</t>
        </is>
      </c>
      <c r="F12" s="5" t="n">
        <v>20</v>
      </c>
      <c r="G12" s="5" t="n">
        <v>55</v>
      </c>
      <c r="H12" s="5" t="n">
        <v>3</v>
      </c>
      <c r="I12" s="5" t="n">
        <v>0.1</v>
      </c>
      <c r="J12" s="5" t="n">
        <v>0.6666666666666666</v>
      </c>
      <c r="K12" s="5" t="n">
        <v>0</v>
      </c>
      <c r="L12" s="5" t="inlineStr">
        <is>
          <t>STEEL_BASE</t>
        </is>
      </c>
      <c r="M12" s="5" t="inlineStr">
        <is>
          <t>GATE_2</t>
        </is>
      </c>
      <c r="N12" s="5" t="inlineStr">
        <is>
          <t>Compression model only</t>
        </is>
      </c>
      <c r="O12" s="5" t="inlineStr">
        <is>
          <t>Only after best tensile model frozen from P1</t>
        </is>
      </c>
      <c r="P12" s="5" t="inlineStr">
        <is>
          <t>PLANNED_NOT_RUN</t>
        </is>
      </c>
      <c r="Q12" s="5" t="inlineStr">
        <is>
          <t>https://doi.org/10.1016/j.engstruct.2025.121810 | https://doi.org/10.1016/j.engstruct.2025.120154</t>
        </is>
      </c>
    </row>
    <row r="13" ht="37" customHeight="1">
      <c r="A13" s="6" t="inlineStr">
        <is>
          <t>UHPC_012</t>
        </is>
      </c>
      <c r="B13" s="6" t="inlineStr">
        <is>
          <t>P2_COMPRESSION_SCREEN</t>
        </is>
      </c>
      <c r="C13" s="6" t="inlineStr">
        <is>
          <t>B03</t>
        </is>
      </c>
      <c r="D13" s="6" t="inlineStr">
        <is>
          <t>T_BEST_LOCKED</t>
        </is>
      </c>
      <c r="E13" s="6" t="inlineStr">
        <is>
          <t>C2_ZHAO</t>
        </is>
      </c>
      <c r="F13" s="6" t="n">
        <v>20</v>
      </c>
      <c r="G13" s="6" t="n">
        <v>55</v>
      </c>
      <c r="H13" s="6" t="n">
        <v>3</v>
      </c>
      <c r="I13" s="6" t="n">
        <v>0.1</v>
      </c>
      <c r="J13" s="6" t="n">
        <v>0.6666666666666666</v>
      </c>
      <c r="K13" s="6" t="n">
        <v>0</v>
      </c>
      <c r="L13" s="6" t="inlineStr">
        <is>
          <t>STEEL_BASE</t>
        </is>
      </c>
      <c r="M13" s="6" t="inlineStr">
        <is>
          <t>GATE_2</t>
        </is>
      </c>
      <c r="N13" s="6" t="inlineStr">
        <is>
          <t>Compression model only</t>
        </is>
      </c>
      <c r="O13" s="6" t="inlineStr">
        <is>
          <t>Only after best tensile model frozen from P1</t>
        </is>
      </c>
      <c r="P13" s="6" t="inlineStr">
        <is>
          <t>PLANNED_NOT_RUN</t>
        </is>
      </c>
      <c r="Q13" s="6" t="inlineStr">
        <is>
          <t>https://doi.org/10.1016/j.engstruct.2025.121810 | https://doi.org/10.1016/j.engstruct.2025.120154</t>
        </is>
      </c>
    </row>
    <row r="14" ht="37" customHeight="1">
      <c r="A14" s="5" t="inlineStr">
        <is>
          <t>UHPC_013</t>
        </is>
      </c>
      <c r="B14" s="5" t="inlineStr">
        <is>
          <t>P2_COMPRESSION_SCREEN</t>
        </is>
      </c>
      <c r="C14" s="5" t="inlineStr">
        <is>
          <t>B03</t>
        </is>
      </c>
      <c r="D14" s="5" t="inlineStr">
        <is>
          <t>T_BEST_LOCKED</t>
        </is>
      </c>
      <c r="E14" s="5" t="inlineStr">
        <is>
          <t>C3_WANG</t>
        </is>
      </c>
      <c r="F14" s="5" t="n">
        <v>20</v>
      </c>
      <c r="G14" s="5" t="n">
        <v>55</v>
      </c>
      <c r="H14" s="5" t="n">
        <v>3</v>
      </c>
      <c r="I14" s="5" t="n">
        <v>0.1</v>
      </c>
      <c r="J14" s="5" t="n">
        <v>0.6666666666666666</v>
      </c>
      <c r="K14" s="5" t="n">
        <v>0</v>
      </c>
      <c r="L14" s="5" t="inlineStr">
        <is>
          <t>STEEL_BASE</t>
        </is>
      </c>
      <c r="M14" s="5" t="inlineStr">
        <is>
          <t>GATE_2</t>
        </is>
      </c>
      <c r="N14" s="5" t="inlineStr">
        <is>
          <t>Compression model only</t>
        </is>
      </c>
      <c r="O14" s="5" t="inlineStr">
        <is>
          <t>Only after best tensile model frozen from P1</t>
        </is>
      </c>
      <c r="P14" s="5" t="inlineStr">
        <is>
          <t>PLANNED_NOT_RUN</t>
        </is>
      </c>
      <c r="Q14" s="5" t="inlineStr">
        <is>
          <t>https://doi.org/10.1016/j.engstruct.2025.121810 | https://doi.org/10.1016/j.engstruct.2025.120154</t>
        </is>
      </c>
    </row>
    <row r="15" ht="37" customHeight="1">
      <c r="A15" s="6" t="inlineStr">
        <is>
          <t>UHPC_014</t>
        </is>
      </c>
      <c r="B15" s="6" t="inlineStr">
        <is>
          <t>P2_COMPRESSION_SCREEN</t>
        </is>
      </c>
      <c r="C15" s="6" t="inlineStr">
        <is>
          <t>B03</t>
        </is>
      </c>
      <c r="D15" s="6" t="inlineStr">
        <is>
          <t>T_BEST_LOCKED</t>
        </is>
      </c>
      <c r="E15" s="6" t="inlineStr">
        <is>
          <t>C4_YAN</t>
        </is>
      </c>
      <c r="F15" s="6" t="n">
        <v>20</v>
      </c>
      <c r="G15" s="6" t="n">
        <v>55</v>
      </c>
      <c r="H15" s="6" t="n">
        <v>3</v>
      </c>
      <c r="I15" s="6" t="n">
        <v>0.1</v>
      </c>
      <c r="J15" s="6" t="n">
        <v>0.6666666666666666</v>
      </c>
      <c r="K15" s="6" t="n">
        <v>0</v>
      </c>
      <c r="L15" s="6" t="inlineStr">
        <is>
          <t>STEEL_BASE</t>
        </is>
      </c>
      <c r="M15" s="6" t="inlineStr">
        <is>
          <t>GATE_2</t>
        </is>
      </c>
      <c r="N15" s="6" t="inlineStr">
        <is>
          <t>Compression model only</t>
        </is>
      </c>
      <c r="O15" s="6" t="inlineStr">
        <is>
          <t>Only after best tensile model frozen from P1</t>
        </is>
      </c>
      <c r="P15" s="6" t="inlineStr">
        <is>
          <t>PLANNED_NOT_RUN</t>
        </is>
      </c>
      <c r="Q15" s="6" t="inlineStr">
        <is>
          <t>https://doi.org/10.1016/j.engstruct.2025.121810 | https://doi.org/10.1016/j.engstruct.2025.120154</t>
        </is>
      </c>
    </row>
    <row r="16" ht="37" customHeight="1">
      <c r="A16" s="5" t="inlineStr">
        <is>
          <t>UHPC_015</t>
        </is>
      </c>
      <c r="B16" s="5" t="inlineStr">
        <is>
          <t>P2_COMPRESSION_SCREEN</t>
        </is>
      </c>
      <c r="C16" s="5" t="inlineStr">
        <is>
          <t>B08</t>
        </is>
      </c>
      <c r="D16" s="5" t="inlineStr">
        <is>
          <t>T_BEST_LOCKED</t>
        </is>
      </c>
      <c r="E16" s="5" t="inlineStr">
        <is>
          <t>C2_ZHAO</t>
        </is>
      </c>
      <c r="F16" s="5" t="n">
        <v>20</v>
      </c>
      <c r="G16" s="5" t="n">
        <v>55</v>
      </c>
      <c r="H16" s="5" t="n">
        <v>3</v>
      </c>
      <c r="I16" s="5" t="n">
        <v>0.1</v>
      </c>
      <c r="J16" s="5" t="n">
        <v>0.6666666666666666</v>
      </c>
      <c r="K16" s="5" t="n">
        <v>0</v>
      </c>
      <c r="L16" s="5" t="inlineStr">
        <is>
          <t>STEEL_BASE</t>
        </is>
      </c>
      <c r="M16" s="5" t="inlineStr">
        <is>
          <t>GATE_2</t>
        </is>
      </c>
      <c r="N16" s="5" t="inlineStr">
        <is>
          <t>Compression model only</t>
        </is>
      </c>
      <c r="O16" s="5" t="inlineStr">
        <is>
          <t>Only after best tensile model frozen from P1</t>
        </is>
      </c>
      <c r="P16" s="5" t="inlineStr">
        <is>
          <t>PLANNED_NOT_RUN</t>
        </is>
      </c>
      <c r="Q16" s="5" t="inlineStr">
        <is>
          <t>https://doi.org/10.1016/j.engstruct.2025.121810 | https://doi.org/10.1016/j.engstruct.2025.120154</t>
        </is>
      </c>
    </row>
    <row r="17" ht="37" customHeight="1">
      <c r="A17" s="6" t="inlineStr">
        <is>
          <t>UHPC_016</t>
        </is>
      </c>
      <c r="B17" s="6" t="inlineStr">
        <is>
          <t>P2_COMPRESSION_SCREEN</t>
        </is>
      </c>
      <c r="C17" s="6" t="inlineStr">
        <is>
          <t>B08</t>
        </is>
      </c>
      <c r="D17" s="6" t="inlineStr">
        <is>
          <t>T_BEST_LOCKED</t>
        </is>
      </c>
      <c r="E17" s="6" t="inlineStr">
        <is>
          <t>C3_WANG</t>
        </is>
      </c>
      <c r="F17" s="6" t="n">
        <v>20</v>
      </c>
      <c r="G17" s="6" t="n">
        <v>55</v>
      </c>
      <c r="H17" s="6" t="n">
        <v>3</v>
      </c>
      <c r="I17" s="6" t="n">
        <v>0.1</v>
      </c>
      <c r="J17" s="6" t="n">
        <v>0.6666666666666666</v>
      </c>
      <c r="K17" s="6" t="n">
        <v>0</v>
      </c>
      <c r="L17" s="6" t="inlineStr">
        <is>
          <t>STEEL_BASE</t>
        </is>
      </c>
      <c r="M17" s="6" t="inlineStr">
        <is>
          <t>GATE_2</t>
        </is>
      </c>
      <c r="N17" s="6" t="inlineStr">
        <is>
          <t>Compression model only</t>
        </is>
      </c>
      <c r="O17" s="6" t="inlineStr">
        <is>
          <t>Only after best tensile model frozen from P1</t>
        </is>
      </c>
      <c r="P17" s="6" t="inlineStr">
        <is>
          <t>PLANNED_NOT_RUN</t>
        </is>
      </c>
      <c r="Q17" s="6" t="inlineStr">
        <is>
          <t>https://doi.org/10.1016/j.engstruct.2025.121810 | https://doi.org/10.1016/j.engstruct.2025.120154</t>
        </is>
      </c>
    </row>
    <row r="18" ht="37" customHeight="1">
      <c r="A18" s="5" t="inlineStr">
        <is>
          <t>UHPC_017</t>
        </is>
      </c>
      <c r="B18" s="5" t="inlineStr">
        <is>
          <t>P2_COMPRESSION_SCREEN</t>
        </is>
      </c>
      <c r="C18" s="5" t="inlineStr">
        <is>
          <t>B08</t>
        </is>
      </c>
      <c r="D18" s="5" t="inlineStr">
        <is>
          <t>T_BEST_LOCKED</t>
        </is>
      </c>
      <c r="E18" s="5" t="inlineStr">
        <is>
          <t>C4_YAN</t>
        </is>
      </c>
      <c r="F18" s="5" t="n">
        <v>20</v>
      </c>
      <c r="G18" s="5" t="n">
        <v>55</v>
      </c>
      <c r="H18" s="5" t="n">
        <v>3</v>
      </c>
      <c r="I18" s="5" t="n">
        <v>0.1</v>
      </c>
      <c r="J18" s="5" t="n">
        <v>0.6666666666666666</v>
      </c>
      <c r="K18" s="5" t="n">
        <v>0</v>
      </c>
      <c r="L18" s="5" t="inlineStr">
        <is>
          <t>STEEL_BASE</t>
        </is>
      </c>
      <c r="M18" s="5" t="inlineStr">
        <is>
          <t>GATE_2</t>
        </is>
      </c>
      <c r="N18" s="5" t="inlineStr">
        <is>
          <t>Compression model only</t>
        </is>
      </c>
      <c r="O18" s="5" t="inlineStr">
        <is>
          <t>Only after best tensile model frozen from P1</t>
        </is>
      </c>
      <c r="P18" s="5" t="inlineStr">
        <is>
          <t>PLANNED_NOT_RUN</t>
        </is>
      </c>
      <c r="Q18" s="5" t="inlineStr">
        <is>
          <t>https://doi.org/10.1016/j.engstruct.2025.121810 | https://doi.org/10.1016/j.engstruct.2025.120154</t>
        </is>
      </c>
    </row>
    <row r="19" ht="37" customHeight="1">
      <c r="A19" s="6" t="inlineStr">
        <is>
          <t>UHPC_018</t>
        </is>
      </c>
      <c r="B19" s="6" t="inlineStr">
        <is>
          <t>P2_COMPRESSION_SCREEN</t>
        </is>
      </c>
      <c r="C19" s="6" t="inlineStr">
        <is>
          <t>B12</t>
        </is>
      </c>
      <c r="D19" s="6" t="inlineStr">
        <is>
          <t>T_BEST_LOCKED</t>
        </is>
      </c>
      <c r="E19" s="6" t="inlineStr">
        <is>
          <t>C2_ZHAO</t>
        </is>
      </c>
      <c r="F19" s="6" t="n">
        <v>20</v>
      </c>
      <c r="G19" s="6" t="n">
        <v>55</v>
      </c>
      <c r="H19" s="6" t="n">
        <v>3</v>
      </c>
      <c r="I19" s="6" t="n">
        <v>0.1</v>
      </c>
      <c r="J19" s="6" t="n">
        <v>0.6666666666666666</v>
      </c>
      <c r="K19" s="6" t="n">
        <v>0</v>
      </c>
      <c r="L19" s="6" t="inlineStr">
        <is>
          <t>STEEL_BASE</t>
        </is>
      </c>
      <c r="M19" s="6" t="inlineStr">
        <is>
          <t>GATE_2</t>
        </is>
      </c>
      <c r="N19" s="6" t="inlineStr">
        <is>
          <t>Compression model only</t>
        </is>
      </c>
      <c r="O19" s="6" t="inlineStr">
        <is>
          <t>Only after best tensile model frozen from P1</t>
        </is>
      </c>
      <c r="P19" s="6" t="inlineStr">
        <is>
          <t>PLANNED_NOT_RUN</t>
        </is>
      </c>
      <c r="Q19" s="6" t="inlineStr">
        <is>
          <t>https://doi.org/10.1016/j.engstruct.2025.121810 | https://doi.org/10.1016/j.engstruct.2025.120154</t>
        </is>
      </c>
    </row>
    <row r="20" ht="37" customHeight="1">
      <c r="A20" s="5" t="inlineStr">
        <is>
          <t>UHPC_019</t>
        </is>
      </c>
      <c r="B20" s="5" t="inlineStr">
        <is>
          <t>P2_COMPRESSION_SCREEN</t>
        </is>
      </c>
      <c r="C20" s="5" t="inlineStr">
        <is>
          <t>B12</t>
        </is>
      </c>
      <c r="D20" s="5" t="inlineStr">
        <is>
          <t>T_BEST_LOCKED</t>
        </is>
      </c>
      <c r="E20" s="5" t="inlineStr">
        <is>
          <t>C3_WANG</t>
        </is>
      </c>
      <c r="F20" s="5" t="n">
        <v>20</v>
      </c>
      <c r="G20" s="5" t="n">
        <v>55</v>
      </c>
      <c r="H20" s="5" t="n">
        <v>3</v>
      </c>
      <c r="I20" s="5" t="n">
        <v>0.1</v>
      </c>
      <c r="J20" s="5" t="n">
        <v>0.6666666666666666</v>
      </c>
      <c r="K20" s="5" t="n">
        <v>0</v>
      </c>
      <c r="L20" s="5" t="inlineStr">
        <is>
          <t>STEEL_BASE</t>
        </is>
      </c>
      <c r="M20" s="5" t="inlineStr">
        <is>
          <t>GATE_2</t>
        </is>
      </c>
      <c r="N20" s="5" t="inlineStr">
        <is>
          <t>Compression model only</t>
        </is>
      </c>
      <c r="O20" s="5" t="inlineStr">
        <is>
          <t>Only after best tensile model frozen from P1</t>
        </is>
      </c>
      <c r="P20" s="5" t="inlineStr">
        <is>
          <t>PLANNED_NOT_RUN</t>
        </is>
      </c>
      <c r="Q20" s="5" t="inlineStr">
        <is>
          <t>https://doi.org/10.1016/j.engstruct.2025.121810 | https://doi.org/10.1016/j.engstruct.2025.120154</t>
        </is>
      </c>
    </row>
    <row r="21" ht="37" customHeight="1">
      <c r="A21" s="6" t="inlineStr">
        <is>
          <t>UHPC_020</t>
        </is>
      </c>
      <c r="B21" s="6" t="inlineStr">
        <is>
          <t>P2_COMPRESSION_SCREEN</t>
        </is>
      </c>
      <c r="C21" s="6" t="inlineStr">
        <is>
          <t>B12</t>
        </is>
      </c>
      <c r="D21" s="6" t="inlineStr">
        <is>
          <t>T_BEST_LOCKED</t>
        </is>
      </c>
      <c r="E21" s="6" t="inlineStr">
        <is>
          <t>C4_YAN</t>
        </is>
      </c>
      <c r="F21" s="6" t="n">
        <v>20</v>
      </c>
      <c r="G21" s="6" t="n">
        <v>55</v>
      </c>
      <c r="H21" s="6" t="n">
        <v>3</v>
      </c>
      <c r="I21" s="6" t="n">
        <v>0.1</v>
      </c>
      <c r="J21" s="6" t="n">
        <v>0.6666666666666666</v>
      </c>
      <c r="K21" s="6" t="n">
        <v>0</v>
      </c>
      <c r="L21" s="6" t="inlineStr">
        <is>
          <t>STEEL_BASE</t>
        </is>
      </c>
      <c r="M21" s="6" t="inlineStr">
        <is>
          <t>GATE_2</t>
        </is>
      </c>
      <c r="N21" s="6" t="inlineStr">
        <is>
          <t>Compression model only</t>
        </is>
      </c>
      <c r="O21" s="6" t="inlineStr">
        <is>
          <t>Only after best tensile model frozen from P1</t>
        </is>
      </c>
      <c r="P21" s="6" t="inlineStr">
        <is>
          <t>PLANNED_NOT_RUN</t>
        </is>
      </c>
      <c r="Q21" s="6" t="inlineStr">
        <is>
          <t>https://doi.org/10.1016/j.engstruct.2025.121810 | https://doi.org/10.1016/j.engstruct.2025.120154</t>
        </is>
      </c>
    </row>
    <row r="22" ht="37" customHeight="1">
      <c r="A22" s="5" t="inlineStr">
        <is>
          <t>UHPC_021</t>
        </is>
      </c>
      <c r="B22" s="7" t="inlineStr">
        <is>
          <t>P3_HOLDOUT_8</t>
        </is>
      </c>
      <c r="C22" s="5" t="inlineStr">
        <is>
          <t>B01</t>
        </is>
      </c>
      <c r="D22" s="5" t="inlineStr">
        <is>
          <t>T_BEST_LOCKED</t>
        </is>
      </c>
      <c r="E22" s="5" t="inlineStr">
        <is>
          <t>C_BEST_LOCKED</t>
        </is>
      </c>
      <c r="F22" s="5" t="n">
        <v>20</v>
      </c>
      <c r="G22" s="5" t="n">
        <v>55</v>
      </c>
      <c r="H22" s="5" t="n">
        <v>3</v>
      </c>
      <c r="I22" s="5" t="n">
        <v>0.1</v>
      </c>
      <c r="J22" s="5" t="n">
        <v>0.6666666666666666</v>
      </c>
      <c r="K22" s="5" t="n">
        <v>0</v>
      </c>
      <c r="L22" s="5" t="inlineStr">
        <is>
          <t>STEEL_BASE</t>
        </is>
      </c>
      <c r="M22" s="5" t="inlineStr">
        <is>
          <t>GATE_3</t>
        </is>
      </c>
      <c r="N22" s="5" t="inlineStr">
        <is>
          <t>Specimen only</t>
        </is>
      </c>
      <c r="O22" s="5" t="inlineStr">
        <is>
          <t>No retrospective tuning based on these samples</t>
        </is>
      </c>
      <c r="P22" s="5" t="inlineStr">
        <is>
          <t>PLANNED_NOT_RUN</t>
        </is>
      </c>
      <c r="Q22" s="5" t="inlineStr">
        <is>
          <t>https://doi.org/10.1016/j.engstruct.2025.121810 | https://doi.org/10.1016/j.engstruct.2025.120154</t>
        </is>
      </c>
    </row>
    <row r="23" ht="37" customHeight="1">
      <c r="A23" s="6" t="inlineStr">
        <is>
          <t>UHPC_022</t>
        </is>
      </c>
      <c r="B23" s="8" t="inlineStr">
        <is>
          <t>P3_HOLDOUT_8</t>
        </is>
      </c>
      <c r="C23" s="6" t="inlineStr">
        <is>
          <t>B04</t>
        </is>
      </c>
      <c r="D23" s="6" t="inlineStr">
        <is>
          <t>T_BEST_LOCKED</t>
        </is>
      </c>
      <c r="E23" s="6" t="inlineStr">
        <is>
          <t>C_BEST_LOCKED</t>
        </is>
      </c>
      <c r="F23" s="6" t="n">
        <v>20</v>
      </c>
      <c r="G23" s="6" t="n">
        <v>55</v>
      </c>
      <c r="H23" s="6" t="n">
        <v>3</v>
      </c>
      <c r="I23" s="6" t="n">
        <v>0.1</v>
      </c>
      <c r="J23" s="6" t="n">
        <v>0.6666666666666666</v>
      </c>
      <c r="K23" s="6" t="n">
        <v>0</v>
      </c>
      <c r="L23" s="6" t="inlineStr">
        <is>
          <t>STEEL_BASE</t>
        </is>
      </c>
      <c r="M23" s="6" t="inlineStr">
        <is>
          <t>GATE_3</t>
        </is>
      </c>
      <c r="N23" s="6" t="inlineStr">
        <is>
          <t>Specimen only</t>
        </is>
      </c>
      <c r="O23" s="6" t="inlineStr">
        <is>
          <t>No retrospective tuning based on these samples</t>
        </is>
      </c>
      <c r="P23" s="6" t="inlineStr">
        <is>
          <t>PLANNED_NOT_RUN</t>
        </is>
      </c>
      <c r="Q23" s="6" t="inlineStr">
        <is>
          <t>https://doi.org/10.1016/j.engstruct.2025.121810 | https://doi.org/10.1016/j.engstruct.2025.120154</t>
        </is>
      </c>
    </row>
    <row r="24" ht="37" customHeight="1">
      <c r="A24" s="5" t="inlineStr">
        <is>
          <t>UHPC_023</t>
        </is>
      </c>
      <c r="B24" s="7" t="inlineStr">
        <is>
          <t>P3_HOLDOUT_8</t>
        </is>
      </c>
      <c r="C24" s="5" t="inlineStr">
        <is>
          <t>B05</t>
        </is>
      </c>
      <c r="D24" s="5" t="inlineStr">
        <is>
          <t>T_BEST_LOCKED</t>
        </is>
      </c>
      <c r="E24" s="5" t="inlineStr">
        <is>
          <t>C_BEST_LOCKED</t>
        </is>
      </c>
      <c r="F24" s="5" t="n">
        <v>20</v>
      </c>
      <c r="G24" s="5" t="n">
        <v>55</v>
      </c>
      <c r="H24" s="5" t="n">
        <v>3</v>
      </c>
      <c r="I24" s="5" t="n">
        <v>0.1</v>
      </c>
      <c r="J24" s="5" t="n">
        <v>0.6666666666666666</v>
      </c>
      <c r="K24" s="5" t="n">
        <v>0</v>
      </c>
      <c r="L24" s="5" t="inlineStr">
        <is>
          <t>STEEL_BASE</t>
        </is>
      </c>
      <c r="M24" s="5" t="inlineStr">
        <is>
          <t>GATE_3</t>
        </is>
      </c>
      <c r="N24" s="5" t="inlineStr">
        <is>
          <t>Specimen only</t>
        </is>
      </c>
      <c r="O24" s="5" t="inlineStr">
        <is>
          <t>No retrospective tuning based on these samples</t>
        </is>
      </c>
      <c r="P24" s="5" t="inlineStr">
        <is>
          <t>PLANNED_NOT_RUN</t>
        </is>
      </c>
      <c r="Q24" s="5" t="inlineStr">
        <is>
          <t>https://doi.org/10.1016/j.engstruct.2025.121810 | https://doi.org/10.1016/j.engstruct.2025.120154</t>
        </is>
      </c>
    </row>
    <row r="25" ht="37" customHeight="1">
      <c r="A25" s="6" t="inlineStr">
        <is>
          <t>UHPC_024</t>
        </is>
      </c>
      <c r="B25" s="8" t="inlineStr">
        <is>
          <t>P3_HOLDOUT_8</t>
        </is>
      </c>
      <c r="C25" s="6" t="inlineStr">
        <is>
          <t>B06</t>
        </is>
      </c>
      <c r="D25" s="6" t="inlineStr">
        <is>
          <t>T_BEST_LOCKED</t>
        </is>
      </c>
      <c r="E25" s="6" t="inlineStr">
        <is>
          <t>C_BEST_LOCKED</t>
        </is>
      </c>
      <c r="F25" s="6" t="n">
        <v>20</v>
      </c>
      <c r="G25" s="6" t="n">
        <v>55</v>
      </c>
      <c r="H25" s="6" t="n">
        <v>3</v>
      </c>
      <c r="I25" s="6" t="n">
        <v>0.1</v>
      </c>
      <c r="J25" s="6" t="n">
        <v>0.6666666666666666</v>
      </c>
      <c r="K25" s="6" t="n">
        <v>0</v>
      </c>
      <c r="L25" s="6" t="inlineStr">
        <is>
          <t>STEEL_BASE</t>
        </is>
      </c>
      <c r="M25" s="6" t="inlineStr">
        <is>
          <t>GATE_3</t>
        </is>
      </c>
      <c r="N25" s="6" t="inlineStr">
        <is>
          <t>Specimen only</t>
        </is>
      </c>
      <c r="O25" s="6" t="inlineStr">
        <is>
          <t>No retrospective tuning based on these samples</t>
        </is>
      </c>
      <c r="P25" s="6" t="inlineStr">
        <is>
          <t>PLANNED_NOT_RUN</t>
        </is>
      </c>
      <c r="Q25" s="6" t="inlineStr">
        <is>
          <t>https://doi.org/10.1016/j.engstruct.2025.121810 | https://doi.org/10.1016/j.engstruct.2025.120154</t>
        </is>
      </c>
    </row>
    <row r="26" ht="37" customHeight="1">
      <c r="A26" s="5" t="inlineStr">
        <is>
          <t>UHPC_025</t>
        </is>
      </c>
      <c r="B26" s="7" t="inlineStr">
        <is>
          <t>P3_HOLDOUT_8</t>
        </is>
      </c>
      <c r="C26" s="5" t="inlineStr">
        <is>
          <t>B07</t>
        </is>
      </c>
      <c r="D26" s="5" t="inlineStr">
        <is>
          <t>T_BEST_LOCKED</t>
        </is>
      </c>
      <c r="E26" s="5" t="inlineStr">
        <is>
          <t>C_BEST_LOCKED</t>
        </is>
      </c>
      <c r="F26" s="5" t="n">
        <v>20</v>
      </c>
      <c r="G26" s="5" t="n">
        <v>55</v>
      </c>
      <c r="H26" s="5" t="n">
        <v>3</v>
      </c>
      <c r="I26" s="5" t="n">
        <v>0.1</v>
      </c>
      <c r="J26" s="5" t="n">
        <v>0.6666666666666666</v>
      </c>
      <c r="K26" s="5" t="n">
        <v>0</v>
      </c>
      <c r="L26" s="5" t="inlineStr">
        <is>
          <t>STEEL_BASE</t>
        </is>
      </c>
      <c r="M26" s="5" t="inlineStr">
        <is>
          <t>GATE_3</t>
        </is>
      </c>
      <c r="N26" s="5" t="inlineStr">
        <is>
          <t>Specimen only</t>
        </is>
      </c>
      <c r="O26" s="5" t="inlineStr">
        <is>
          <t>No retrospective tuning based on these samples</t>
        </is>
      </c>
      <c r="P26" s="5" t="inlineStr">
        <is>
          <t>PLANNED_NOT_RUN</t>
        </is>
      </c>
      <c r="Q26" s="5" t="inlineStr">
        <is>
          <t>https://doi.org/10.1016/j.engstruct.2025.121810 | https://doi.org/10.1016/j.engstruct.2025.120154</t>
        </is>
      </c>
    </row>
    <row r="27" ht="37" customHeight="1">
      <c r="A27" s="6" t="inlineStr">
        <is>
          <t>UHPC_026</t>
        </is>
      </c>
      <c r="B27" s="8" t="inlineStr">
        <is>
          <t>P3_HOLDOUT_8</t>
        </is>
      </c>
      <c r="C27" s="6" t="inlineStr">
        <is>
          <t>B09</t>
        </is>
      </c>
      <c r="D27" s="6" t="inlineStr">
        <is>
          <t>T_BEST_LOCKED</t>
        </is>
      </c>
      <c r="E27" s="6" t="inlineStr">
        <is>
          <t>C_BEST_LOCKED</t>
        </is>
      </c>
      <c r="F27" s="6" t="n">
        <v>20</v>
      </c>
      <c r="G27" s="6" t="n">
        <v>55</v>
      </c>
      <c r="H27" s="6" t="n">
        <v>3</v>
      </c>
      <c r="I27" s="6" t="n">
        <v>0.1</v>
      </c>
      <c r="J27" s="6" t="n">
        <v>0.6666666666666666</v>
      </c>
      <c r="K27" s="6" t="n">
        <v>0</v>
      </c>
      <c r="L27" s="6" t="inlineStr">
        <is>
          <t>STEEL_BASE</t>
        </is>
      </c>
      <c r="M27" s="6" t="inlineStr">
        <is>
          <t>GATE_3</t>
        </is>
      </c>
      <c r="N27" s="6" t="inlineStr">
        <is>
          <t>Specimen only</t>
        </is>
      </c>
      <c r="O27" s="6" t="inlineStr">
        <is>
          <t>No retrospective tuning based on these samples</t>
        </is>
      </c>
      <c r="P27" s="6" t="inlineStr">
        <is>
          <t>PLANNED_NOT_RUN</t>
        </is>
      </c>
      <c r="Q27" s="6" t="inlineStr">
        <is>
          <t>https://doi.org/10.1016/j.engstruct.2025.121810 | https://doi.org/10.1016/j.engstruct.2025.120154</t>
        </is>
      </c>
    </row>
    <row r="28" ht="37" customHeight="1">
      <c r="A28" s="5" t="inlineStr">
        <is>
          <t>UHPC_027</t>
        </is>
      </c>
      <c r="B28" s="7" t="inlineStr">
        <is>
          <t>P3_HOLDOUT_8</t>
        </is>
      </c>
      <c r="C28" s="5" t="inlineStr">
        <is>
          <t>B10</t>
        </is>
      </c>
      <c r="D28" s="5" t="inlineStr">
        <is>
          <t>T_BEST_LOCKED</t>
        </is>
      </c>
      <c r="E28" s="5" t="inlineStr">
        <is>
          <t>C_BEST_LOCKED</t>
        </is>
      </c>
      <c r="F28" s="5" t="n">
        <v>20</v>
      </c>
      <c r="G28" s="5" t="n">
        <v>55</v>
      </c>
      <c r="H28" s="5" t="n">
        <v>3</v>
      </c>
      <c r="I28" s="5" t="n">
        <v>0.1</v>
      </c>
      <c r="J28" s="5" t="n">
        <v>0.6666666666666666</v>
      </c>
      <c r="K28" s="5" t="n">
        <v>0</v>
      </c>
      <c r="L28" s="5" t="inlineStr">
        <is>
          <t>STEEL_BASE</t>
        </is>
      </c>
      <c r="M28" s="5" t="inlineStr">
        <is>
          <t>GATE_3</t>
        </is>
      </c>
      <c r="N28" s="5" t="inlineStr">
        <is>
          <t>Specimen only</t>
        </is>
      </c>
      <c r="O28" s="5" t="inlineStr">
        <is>
          <t>No retrospective tuning based on these samples</t>
        </is>
      </c>
      <c r="P28" s="5" t="inlineStr">
        <is>
          <t>PLANNED_NOT_RUN</t>
        </is>
      </c>
      <c r="Q28" s="5" t="inlineStr">
        <is>
          <t>https://doi.org/10.1016/j.engstruct.2025.121810 | https://doi.org/10.1016/j.engstruct.2025.120154</t>
        </is>
      </c>
    </row>
    <row r="29" ht="37" customHeight="1">
      <c r="A29" s="6" t="inlineStr">
        <is>
          <t>UHPC_028</t>
        </is>
      </c>
      <c r="B29" s="8" t="inlineStr">
        <is>
          <t>P3_HOLDOUT_8</t>
        </is>
      </c>
      <c r="C29" s="6" t="inlineStr">
        <is>
          <t>B11</t>
        </is>
      </c>
      <c r="D29" s="6" t="inlineStr">
        <is>
          <t>T_BEST_LOCKED</t>
        </is>
      </c>
      <c r="E29" s="6" t="inlineStr">
        <is>
          <t>C_BEST_LOCKED</t>
        </is>
      </c>
      <c r="F29" s="6" t="n">
        <v>20</v>
      </c>
      <c r="G29" s="6" t="n">
        <v>55</v>
      </c>
      <c r="H29" s="6" t="n">
        <v>3</v>
      </c>
      <c r="I29" s="6" t="n">
        <v>0.1</v>
      </c>
      <c r="J29" s="6" t="n">
        <v>0.6666666666666666</v>
      </c>
      <c r="K29" s="6" t="n">
        <v>0</v>
      </c>
      <c r="L29" s="6" t="inlineStr">
        <is>
          <t>STEEL_BASE</t>
        </is>
      </c>
      <c r="M29" s="6" t="inlineStr">
        <is>
          <t>GATE_3</t>
        </is>
      </c>
      <c r="N29" s="6" t="inlineStr">
        <is>
          <t>Specimen only</t>
        </is>
      </c>
      <c r="O29" s="6" t="inlineStr">
        <is>
          <t>No retrospective tuning based on these samples</t>
        </is>
      </c>
      <c r="P29" s="6" t="inlineStr">
        <is>
          <t>PLANNED_NOT_RUN</t>
        </is>
      </c>
      <c r="Q29" s="6" t="inlineStr">
        <is>
          <t>https://doi.org/10.1016/j.engstruct.2025.121810 | https://doi.org/10.1016/j.engstruct.2025.120154</t>
        </is>
      </c>
    </row>
    <row r="30" ht="37" customHeight="1">
      <c r="A30" s="5" t="inlineStr">
        <is>
          <t>UHPC_029</t>
        </is>
      </c>
      <c r="B30" s="5" t="inlineStr">
        <is>
          <t>P4_MESH_CHECK</t>
        </is>
      </c>
      <c r="C30" s="5" t="inlineStr">
        <is>
          <t>B02</t>
        </is>
      </c>
      <c r="D30" s="5" t="inlineStr">
        <is>
          <t>T_BEST_LOCKED</t>
        </is>
      </c>
      <c r="E30" s="5" t="inlineStr">
        <is>
          <t>C_BEST_LOCKED</t>
        </is>
      </c>
      <c r="F30" s="5" t="n">
        <v>15</v>
      </c>
      <c r="G30" s="5" t="n">
        <v>55</v>
      </c>
      <c r="H30" s="5" t="n">
        <v>3</v>
      </c>
      <c r="I30" s="5" t="n">
        <v>0.1</v>
      </c>
      <c r="J30" s="5" t="n">
        <v>0.6666666666666666</v>
      </c>
      <c r="K30" s="5" t="n">
        <v>0</v>
      </c>
      <c r="L30" s="5" t="inlineStr">
        <is>
          <t>STEEL_BASE</t>
        </is>
      </c>
      <c r="M30" s="5" t="inlineStr">
        <is>
          <t>GATE_4</t>
        </is>
      </c>
      <c r="N30" s="5" t="inlineStr">
        <is>
          <t>Mesh only</t>
        </is>
      </c>
      <c r="O30" s="5" t="inlineStr">
        <is>
          <t>Compare to previously run 20-mm baseline</t>
        </is>
      </c>
      <c r="P30" s="5" t="inlineStr">
        <is>
          <t>PLANNED_NOT_RUN</t>
        </is>
      </c>
      <c r="Q30" s="5" t="inlineStr">
        <is>
          <t>https://doi.org/10.1016/j.engstruct.2025.121810 | https://doi.org/10.1016/j.engstruct.2025.120154</t>
        </is>
      </c>
    </row>
    <row r="31" ht="37" customHeight="1">
      <c r="A31" s="6" t="inlineStr">
        <is>
          <t>UHPC_030</t>
        </is>
      </c>
      <c r="B31" s="6" t="inlineStr">
        <is>
          <t>P4_MESH_CHECK</t>
        </is>
      </c>
      <c r="C31" s="6" t="inlineStr">
        <is>
          <t>B02</t>
        </is>
      </c>
      <c r="D31" s="6" t="inlineStr">
        <is>
          <t>T_BEST_LOCKED</t>
        </is>
      </c>
      <c r="E31" s="6" t="inlineStr">
        <is>
          <t>C_BEST_LOCKED</t>
        </is>
      </c>
      <c r="F31" s="6" t="n">
        <v>30</v>
      </c>
      <c r="G31" s="6" t="n">
        <v>55</v>
      </c>
      <c r="H31" s="6" t="n">
        <v>3</v>
      </c>
      <c r="I31" s="6" t="n">
        <v>0.1</v>
      </c>
      <c r="J31" s="6" t="n">
        <v>0.6666666666666666</v>
      </c>
      <c r="K31" s="6" t="n">
        <v>0</v>
      </c>
      <c r="L31" s="6" t="inlineStr">
        <is>
          <t>STEEL_BASE</t>
        </is>
      </c>
      <c r="M31" s="6" t="inlineStr">
        <is>
          <t>GATE_4</t>
        </is>
      </c>
      <c r="N31" s="6" t="inlineStr">
        <is>
          <t>Mesh only</t>
        </is>
      </c>
      <c r="O31" s="6" t="inlineStr">
        <is>
          <t>Compare to previously run 20-mm baseline</t>
        </is>
      </c>
      <c r="P31" s="6" t="inlineStr">
        <is>
          <t>PLANNED_NOT_RUN</t>
        </is>
      </c>
      <c r="Q31" s="6" t="inlineStr">
        <is>
          <t>https://doi.org/10.1016/j.engstruct.2025.121810 | https://doi.org/10.1016/j.engstruct.2025.120154</t>
        </is>
      </c>
    </row>
    <row r="32" ht="37" customHeight="1">
      <c r="A32" s="5" t="inlineStr">
        <is>
          <t>UHPC_031</t>
        </is>
      </c>
      <c r="B32" s="5" t="inlineStr">
        <is>
          <t>P4_MESH_CHECK</t>
        </is>
      </c>
      <c r="C32" s="5" t="inlineStr">
        <is>
          <t>B08</t>
        </is>
      </c>
      <c r="D32" s="5" t="inlineStr">
        <is>
          <t>T_BEST_LOCKED</t>
        </is>
      </c>
      <c r="E32" s="5" t="inlineStr">
        <is>
          <t>C_BEST_LOCKED</t>
        </is>
      </c>
      <c r="F32" s="5" t="n">
        <v>15</v>
      </c>
      <c r="G32" s="5" t="n">
        <v>55</v>
      </c>
      <c r="H32" s="5" t="n">
        <v>3</v>
      </c>
      <c r="I32" s="5" t="n">
        <v>0.1</v>
      </c>
      <c r="J32" s="5" t="n">
        <v>0.6666666666666666</v>
      </c>
      <c r="K32" s="5" t="n">
        <v>0</v>
      </c>
      <c r="L32" s="5" t="inlineStr">
        <is>
          <t>STEEL_BASE</t>
        </is>
      </c>
      <c r="M32" s="5" t="inlineStr">
        <is>
          <t>GATE_4</t>
        </is>
      </c>
      <c r="N32" s="5" t="inlineStr">
        <is>
          <t>Mesh only</t>
        </is>
      </c>
      <c r="O32" s="5" t="inlineStr">
        <is>
          <t>Compare to previously run 20-mm baseline</t>
        </is>
      </c>
      <c r="P32" s="5" t="inlineStr">
        <is>
          <t>PLANNED_NOT_RUN</t>
        </is>
      </c>
      <c r="Q32" s="5" t="inlineStr">
        <is>
          <t>https://doi.org/10.1016/j.engstruct.2025.121810 | https://doi.org/10.1016/j.engstruct.2025.120154</t>
        </is>
      </c>
    </row>
    <row r="33" ht="37" customHeight="1">
      <c r="A33" s="6" t="inlineStr">
        <is>
          <t>UHPC_032</t>
        </is>
      </c>
      <c r="B33" s="6" t="inlineStr">
        <is>
          <t>P4_MESH_CHECK</t>
        </is>
      </c>
      <c r="C33" s="6" t="inlineStr">
        <is>
          <t>B08</t>
        </is>
      </c>
      <c r="D33" s="6" t="inlineStr">
        <is>
          <t>T_BEST_LOCKED</t>
        </is>
      </c>
      <c r="E33" s="6" t="inlineStr">
        <is>
          <t>C_BEST_LOCKED</t>
        </is>
      </c>
      <c r="F33" s="6" t="n">
        <v>30</v>
      </c>
      <c r="G33" s="6" t="n">
        <v>55</v>
      </c>
      <c r="H33" s="6" t="n">
        <v>3</v>
      </c>
      <c r="I33" s="6" t="n">
        <v>0.1</v>
      </c>
      <c r="J33" s="6" t="n">
        <v>0.6666666666666666</v>
      </c>
      <c r="K33" s="6" t="n">
        <v>0</v>
      </c>
      <c r="L33" s="6" t="inlineStr">
        <is>
          <t>STEEL_BASE</t>
        </is>
      </c>
      <c r="M33" s="6" t="inlineStr">
        <is>
          <t>GATE_4</t>
        </is>
      </c>
      <c r="N33" s="6" t="inlineStr">
        <is>
          <t>Mesh only</t>
        </is>
      </c>
      <c r="O33" s="6" t="inlineStr">
        <is>
          <t>Compare to previously run 20-mm baseline</t>
        </is>
      </c>
      <c r="P33" s="6" t="inlineStr">
        <is>
          <t>PLANNED_NOT_RUN</t>
        </is>
      </c>
      <c r="Q33" s="6" t="inlineStr">
        <is>
          <t>https://doi.org/10.1016/j.engstruct.2025.121810 | https://doi.org/10.1016/j.engstruct.2025.120154</t>
        </is>
      </c>
    </row>
    <row r="34" ht="37" customHeight="1">
      <c r="A34" s="5" t="inlineStr">
        <is>
          <t>UHPC_033</t>
        </is>
      </c>
      <c r="B34" s="5" t="inlineStr">
        <is>
          <t>P4_MESH_CHECK</t>
        </is>
      </c>
      <c r="C34" s="5" t="inlineStr">
        <is>
          <t>B12</t>
        </is>
      </c>
      <c r="D34" s="5" t="inlineStr">
        <is>
          <t>T_BEST_LOCKED</t>
        </is>
      </c>
      <c r="E34" s="5" t="inlineStr">
        <is>
          <t>C_BEST_LOCKED</t>
        </is>
      </c>
      <c r="F34" s="5" t="n">
        <v>15</v>
      </c>
      <c r="G34" s="5" t="n">
        <v>55</v>
      </c>
      <c r="H34" s="5" t="n">
        <v>3</v>
      </c>
      <c r="I34" s="5" t="n">
        <v>0.1</v>
      </c>
      <c r="J34" s="5" t="n">
        <v>0.6666666666666666</v>
      </c>
      <c r="K34" s="5" t="n">
        <v>0</v>
      </c>
      <c r="L34" s="5" t="inlineStr">
        <is>
          <t>STEEL_BASE</t>
        </is>
      </c>
      <c r="M34" s="5" t="inlineStr">
        <is>
          <t>GATE_4</t>
        </is>
      </c>
      <c r="N34" s="5" t="inlineStr">
        <is>
          <t>Mesh only</t>
        </is>
      </c>
      <c r="O34" s="5" t="inlineStr">
        <is>
          <t>Compare to previously run 20-mm baseline</t>
        </is>
      </c>
      <c r="P34" s="5" t="inlineStr">
        <is>
          <t>PLANNED_NOT_RUN</t>
        </is>
      </c>
      <c r="Q34" s="5" t="inlineStr">
        <is>
          <t>https://doi.org/10.1016/j.engstruct.2025.121810 | https://doi.org/10.1016/j.engstruct.2025.120154</t>
        </is>
      </c>
    </row>
    <row r="35" ht="37" customHeight="1">
      <c r="A35" s="6" t="inlineStr">
        <is>
          <t>UHPC_034</t>
        </is>
      </c>
      <c r="B35" s="6" t="inlineStr">
        <is>
          <t>P4_MESH_CHECK</t>
        </is>
      </c>
      <c r="C35" s="6" t="inlineStr">
        <is>
          <t>B12</t>
        </is>
      </c>
      <c r="D35" s="6" t="inlineStr">
        <is>
          <t>T_BEST_LOCKED</t>
        </is>
      </c>
      <c r="E35" s="6" t="inlineStr">
        <is>
          <t>C_BEST_LOCKED</t>
        </is>
      </c>
      <c r="F35" s="6" t="n">
        <v>30</v>
      </c>
      <c r="G35" s="6" t="n">
        <v>55</v>
      </c>
      <c r="H35" s="6" t="n">
        <v>3</v>
      </c>
      <c r="I35" s="6" t="n">
        <v>0.1</v>
      </c>
      <c r="J35" s="6" t="n">
        <v>0.6666666666666666</v>
      </c>
      <c r="K35" s="6" t="n">
        <v>0</v>
      </c>
      <c r="L35" s="6" t="inlineStr">
        <is>
          <t>STEEL_BASE</t>
        </is>
      </c>
      <c r="M35" s="6" t="inlineStr">
        <is>
          <t>GATE_4</t>
        </is>
      </c>
      <c r="N35" s="6" t="inlineStr">
        <is>
          <t>Mesh only</t>
        </is>
      </c>
      <c r="O35" s="6" t="inlineStr">
        <is>
          <t>Compare to previously run 20-mm baseline</t>
        </is>
      </c>
      <c r="P35" s="6" t="inlineStr">
        <is>
          <t>PLANNED_NOT_RUN</t>
        </is>
      </c>
      <c r="Q35" s="6" t="inlineStr">
        <is>
          <t>https://doi.org/10.1016/j.engstruct.2025.121810 | https://doi.org/10.1016/j.engstruct.2025.120154</t>
        </is>
      </c>
    </row>
    <row r="36" ht="37" customHeight="1">
      <c r="A36" s="5" t="inlineStr">
        <is>
          <t>UHPC_035</t>
        </is>
      </c>
      <c r="B36" s="5" t="inlineStr">
        <is>
          <t>P5_PSI_CHECK</t>
        </is>
      </c>
      <c r="C36" s="5" t="inlineStr">
        <is>
          <t>B02</t>
        </is>
      </c>
      <c r="D36" s="5" t="inlineStr">
        <is>
          <t>T_BEST_LOCKED</t>
        </is>
      </c>
      <c r="E36" s="5" t="inlineStr">
        <is>
          <t>C_BEST_LOCKED</t>
        </is>
      </c>
      <c r="F36" s="5" t="n">
        <v>20</v>
      </c>
      <c r="G36" s="5" t="n">
        <v>35</v>
      </c>
      <c r="H36" s="5" t="n">
        <v>3</v>
      </c>
      <c r="I36" s="5" t="n">
        <v>0.1</v>
      </c>
      <c r="J36" s="5" t="n">
        <v>0.6666666666666666</v>
      </c>
      <c r="K36" s="5" t="n">
        <v>0</v>
      </c>
      <c r="L36" s="5" t="inlineStr">
        <is>
          <t>STEEL_BASE</t>
        </is>
      </c>
      <c r="M36" s="5" t="inlineStr">
        <is>
          <t>GATE_5</t>
        </is>
      </c>
      <c r="N36" s="5" t="inlineStr">
        <is>
          <t>Dilation angle only</t>
        </is>
      </c>
      <c r="O36" s="5" t="inlineStr">
        <is>
          <t>55deg base already run</t>
        </is>
      </c>
      <c r="P36" s="5" t="inlineStr">
        <is>
          <t>PLANNED_NOT_RUN</t>
        </is>
      </c>
      <c r="Q36" s="5" t="inlineStr">
        <is>
          <t>https://doi.org/10.1016/j.engstruct.2025.121810 | https://doi.org/10.1016/j.engstruct.2025.120154</t>
        </is>
      </c>
    </row>
    <row r="37" ht="37" customHeight="1">
      <c r="A37" s="6" t="inlineStr">
        <is>
          <t>UHPC_036</t>
        </is>
      </c>
      <c r="B37" s="6" t="inlineStr">
        <is>
          <t>P5_PSI_CHECK</t>
        </is>
      </c>
      <c r="C37" s="6" t="inlineStr">
        <is>
          <t>B02</t>
        </is>
      </c>
      <c r="D37" s="6" t="inlineStr">
        <is>
          <t>T_BEST_LOCKED</t>
        </is>
      </c>
      <c r="E37" s="6" t="inlineStr">
        <is>
          <t>C_BEST_LOCKED</t>
        </is>
      </c>
      <c r="F37" s="6" t="n">
        <v>20</v>
      </c>
      <c r="G37" s="6" t="n">
        <v>45</v>
      </c>
      <c r="H37" s="6" t="n">
        <v>3</v>
      </c>
      <c r="I37" s="6" t="n">
        <v>0.1</v>
      </c>
      <c r="J37" s="6" t="n">
        <v>0.6666666666666666</v>
      </c>
      <c r="K37" s="6" t="n">
        <v>0</v>
      </c>
      <c r="L37" s="6" t="inlineStr">
        <is>
          <t>STEEL_BASE</t>
        </is>
      </c>
      <c r="M37" s="6" t="inlineStr">
        <is>
          <t>GATE_5</t>
        </is>
      </c>
      <c r="N37" s="6" t="inlineStr">
        <is>
          <t>Dilation angle only</t>
        </is>
      </c>
      <c r="O37" s="6" t="inlineStr">
        <is>
          <t>55deg base already run</t>
        </is>
      </c>
      <c r="P37" s="6" t="inlineStr">
        <is>
          <t>PLANNED_NOT_RUN</t>
        </is>
      </c>
      <c r="Q37" s="6" t="inlineStr">
        <is>
          <t>https://doi.org/10.1016/j.engstruct.2025.121810 | https://doi.org/10.1016/j.engstruct.2025.120154</t>
        </is>
      </c>
    </row>
    <row r="38" ht="37" customHeight="1">
      <c r="A38" s="5" t="inlineStr">
        <is>
          <t>UHPC_037</t>
        </is>
      </c>
      <c r="B38" s="5" t="inlineStr">
        <is>
          <t>P5_PSI_CHECK</t>
        </is>
      </c>
      <c r="C38" s="5" t="inlineStr">
        <is>
          <t>B08</t>
        </is>
      </c>
      <c r="D38" s="5" t="inlineStr">
        <is>
          <t>T_BEST_LOCKED</t>
        </is>
      </c>
      <c r="E38" s="5" t="inlineStr">
        <is>
          <t>C_BEST_LOCKED</t>
        </is>
      </c>
      <c r="F38" s="5" t="n">
        <v>20</v>
      </c>
      <c r="G38" s="5" t="n">
        <v>35</v>
      </c>
      <c r="H38" s="5" t="n">
        <v>3</v>
      </c>
      <c r="I38" s="5" t="n">
        <v>0.1</v>
      </c>
      <c r="J38" s="5" t="n">
        <v>0.6666666666666666</v>
      </c>
      <c r="K38" s="5" t="n">
        <v>0</v>
      </c>
      <c r="L38" s="5" t="inlineStr">
        <is>
          <t>STEEL_BASE</t>
        </is>
      </c>
      <c r="M38" s="5" t="inlineStr">
        <is>
          <t>GATE_5</t>
        </is>
      </c>
      <c r="N38" s="5" t="inlineStr">
        <is>
          <t>Dilation angle only</t>
        </is>
      </c>
      <c r="O38" s="5" t="inlineStr">
        <is>
          <t>55deg base already run</t>
        </is>
      </c>
      <c r="P38" s="5" t="inlineStr">
        <is>
          <t>PLANNED_NOT_RUN</t>
        </is>
      </c>
      <c r="Q38" s="5" t="inlineStr">
        <is>
          <t>https://doi.org/10.1016/j.engstruct.2025.121810 | https://doi.org/10.1016/j.engstruct.2025.120154</t>
        </is>
      </c>
    </row>
    <row r="39" ht="37" customHeight="1">
      <c r="A39" s="6" t="inlineStr">
        <is>
          <t>UHPC_038</t>
        </is>
      </c>
      <c r="B39" s="6" t="inlineStr">
        <is>
          <t>P5_PSI_CHECK</t>
        </is>
      </c>
      <c r="C39" s="6" t="inlineStr">
        <is>
          <t>B08</t>
        </is>
      </c>
      <c r="D39" s="6" t="inlineStr">
        <is>
          <t>T_BEST_LOCKED</t>
        </is>
      </c>
      <c r="E39" s="6" t="inlineStr">
        <is>
          <t>C_BEST_LOCKED</t>
        </is>
      </c>
      <c r="F39" s="6" t="n">
        <v>20</v>
      </c>
      <c r="G39" s="6" t="n">
        <v>45</v>
      </c>
      <c r="H39" s="6" t="n">
        <v>3</v>
      </c>
      <c r="I39" s="6" t="n">
        <v>0.1</v>
      </c>
      <c r="J39" s="6" t="n">
        <v>0.6666666666666666</v>
      </c>
      <c r="K39" s="6" t="n">
        <v>0</v>
      </c>
      <c r="L39" s="6" t="inlineStr">
        <is>
          <t>STEEL_BASE</t>
        </is>
      </c>
      <c r="M39" s="6" t="inlineStr">
        <is>
          <t>GATE_5</t>
        </is>
      </c>
      <c r="N39" s="6" t="inlineStr">
        <is>
          <t>Dilation angle only</t>
        </is>
      </c>
      <c r="O39" s="6" t="inlineStr">
        <is>
          <t>55deg base already run</t>
        </is>
      </c>
      <c r="P39" s="6" t="inlineStr">
        <is>
          <t>PLANNED_NOT_RUN</t>
        </is>
      </c>
      <c r="Q39" s="6" t="inlineStr">
        <is>
          <t>https://doi.org/10.1016/j.engstruct.2025.121810 | https://doi.org/10.1016/j.engstruct.2025.120154</t>
        </is>
      </c>
    </row>
    <row r="40" ht="37" customHeight="1">
      <c r="A40" s="5" t="inlineStr">
        <is>
          <t>UHPC_039</t>
        </is>
      </c>
      <c r="B40" s="5" t="inlineStr">
        <is>
          <t>P5_FB0_FC0_CHECK</t>
        </is>
      </c>
      <c r="C40" s="5" t="inlineStr">
        <is>
          <t>B02</t>
        </is>
      </c>
      <c r="D40" s="5" t="inlineStr">
        <is>
          <t>T_BEST_LOCKED</t>
        </is>
      </c>
      <c r="E40" s="5" t="inlineStr">
        <is>
          <t>C_BEST_LOCKED</t>
        </is>
      </c>
      <c r="F40" s="5" t="n">
        <v>20</v>
      </c>
      <c r="G40" s="5" t="n">
        <v>55</v>
      </c>
      <c r="H40" s="5" t="n">
        <v>1.16</v>
      </c>
      <c r="I40" s="5" t="n">
        <v>0.1</v>
      </c>
      <c r="J40" s="5" t="n">
        <v>0.6666666666666666</v>
      </c>
      <c r="K40" s="5" t="n">
        <v>0</v>
      </c>
      <c r="L40" s="5" t="inlineStr">
        <is>
          <t>STEEL_BASE</t>
        </is>
      </c>
      <c r="M40" s="5" t="inlineStr">
        <is>
          <t>GATE_5</t>
        </is>
      </c>
      <c r="N40" s="5" t="inlineStr">
        <is>
          <t>Stress ratio only</t>
        </is>
      </c>
      <c r="O40" s="5" t="inlineStr">
        <is>
          <t>3.0 base already run</t>
        </is>
      </c>
      <c r="P40" s="5" t="inlineStr">
        <is>
          <t>PLANNED_NOT_RUN</t>
        </is>
      </c>
      <c r="Q40" s="5" t="inlineStr">
        <is>
          <t>https://doi.org/10.1016/j.engstruct.2025.121810 | https://doi.org/10.1016/j.engstruct.2025.120154</t>
        </is>
      </c>
    </row>
    <row r="41" ht="37" customHeight="1">
      <c r="A41" s="6" t="inlineStr">
        <is>
          <t>UHPC_040</t>
        </is>
      </c>
      <c r="B41" s="6" t="inlineStr">
        <is>
          <t>P5_FB0_FC0_CHECK</t>
        </is>
      </c>
      <c r="C41" s="6" t="inlineStr">
        <is>
          <t>B02</t>
        </is>
      </c>
      <c r="D41" s="6" t="inlineStr">
        <is>
          <t>T_BEST_LOCKED</t>
        </is>
      </c>
      <c r="E41" s="6" t="inlineStr">
        <is>
          <t>C_BEST_LOCKED</t>
        </is>
      </c>
      <c r="F41" s="6" t="n">
        <v>20</v>
      </c>
      <c r="G41" s="6" t="n">
        <v>55</v>
      </c>
      <c r="H41" s="6" t="n">
        <v>2</v>
      </c>
      <c r="I41" s="6" t="n">
        <v>0.1</v>
      </c>
      <c r="J41" s="6" t="n">
        <v>0.6666666666666666</v>
      </c>
      <c r="K41" s="6" t="n">
        <v>0</v>
      </c>
      <c r="L41" s="6" t="inlineStr">
        <is>
          <t>STEEL_BASE</t>
        </is>
      </c>
      <c r="M41" s="6" t="inlineStr">
        <is>
          <t>GATE_5</t>
        </is>
      </c>
      <c r="N41" s="6" t="inlineStr">
        <is>
          <t>Stress ratio only</t>
        </is>
      </c>
      <c r="O41" s="6" t="inlineStr">
        <is>
          <t>3.0 base already run</t>
        </is>
      </c>
      <c r="P41" s="6" t="inlineStr">
        <is>
          <t>PLANNED_NOT_RUN</t>
        </is>
      </c>
      <c r="Q41" s="6" t="inlineStr">
        <is>
          <t>https://doi.org/10.1016/j.engstruct.2025.121810 | https://doi.org/10.1016/j.engstruct.2025.120154</t>
        </is>
      </c>
    </row>
    <row r="42" ht="37" customHeight="1">
      <c r="A42" s="5" t="inlineStr">
        <is>
          <t>UHPC_041</t>
        </is>
      </c>
      <c r="B42" s="5" t="inlineStr">
        <is>
          <t>P5_FB0_FC0_CHECK</t>
        </is>
      </c>
      <c r="C42" s="5" t="inlineStr">
        <is>
          <t>B08</t>
        </is>
      </c>
      <c r="D42" s="5" t="inlineStr">
        <is>
          <t>T_BEST_LOCKED</t>
        </is>
      </c>
      <c r="E42" s="5" t="inlineStr">
        <is>
          <t>C_BEST_LOCKED</t>
        </is>
      </c>
      <c r="F42" s="5" t="n">
        <v>20</v>
      </c>
      <c r="G42" s="5" t="n">
        <v>55</v>
      </c>
      <c r="H42" s="5" t="n">
        <v>1.16</v>
      </c>
      <c r="I42" s="5" t="n">
        <v>0.1</v>
      </c>
      <c r="J42" s="5" t="n">
        <v>0.6666666666666666</v>
      </c>
      <c r="K42" s="5" t="n">
        <v>0</v>
      </c>
      <c r="L42" s="5" t="inlineStr">
        <is>
          <t>STEEL_BASE</t>
        </is>
      </c>
      <c r="M42" s="5" t="inlineStr">
        <is>
          <t>GATE_5</t>
        </is>
      </c>
      <c r="N42" s="5" t="inlineStr">
        <is>
          <t>Stress ratio only</t>
        </is>
      </c>
      <c r="O42" s="5" t="inlineStr">
        <is>
          <t>3.0 base already run</t>
        </is>
      </c>
      <c r="P42" s="5" t="inlineStr">
        <is>
          <t>PLANNED_NOT_RUN</t>
        </is>
      </c>
      <c r="Q42" s="5" t="inlineStr">
        <is>
          <t>https://doi.org/10.1016/j.engstruct.2025.121810 | https://doi.org/10.1016/j.engstruct.2025.120154</t>
        </is>
      </c>
    </row>
    <row r="43" ht="37" customHeight="1">
      <c r="A43" s="6" t="inlineStr">
        <is>
          <t>UHPC_042</t>
        </is>
      </c>
      <c r="B43" s="6" t="inlineStr">
        <is>
          <t>P5_FB0_FC0_CHECK</t>
        </is>
      </c>
      <c r="C43" s="6" t="inlineStr">
        <is>
          <t>B08</t>
        </is>
      </c>
      <c r="D43" s="6" t="inlineStr">
        <is>
          <t>T_BEST_LOCKED</t>
        </is>
      </c>
      <c r="E43" s="6" t="inlineStr">
        <is>
          <t>C_BEST_LOCKED</t>
        </is>
      </c>
      <c r="F43" s="6" t="n">
        <v>20</v>
      </c>
      <c r="G43" s="6" t="n">
        <v>55</v>
      </c>
      <c r="H43" s="6" t="n">
        <v>2</v>
      </c>
      <c r="I43" s="6" t="n">
        <v>0.1</v>
      </c>
      <c r="J43" s="6" t="n">
        <v>0.6666666666666666</v>
      </c>
      <c r="K43" s="6" t="n">
        <v>0</v>
      </c>
      <c r="L43" s="6" t="inlineStr">
        <is>
          <t>STEEL_BASE</t>
        </is>
      </c>
      <c r="M43" s="6" t="inlineStr">
        <is>
          <t>GATE_5</t>
        </is>
      </c>
      <c r="N43" s="6" t="inlineStr">
        <is>
          <t>Stress ratio only</t>
        </is>
      </c>
      <c r="O43" s="6" t="inlineStr">
        <is>
          <t>3.0 base already run</t>
        </is>
      </c>
      <c r="P43" s="6" t="inlineStr">
        <is>
          <t>PLANNED_NOT_RUN</t>
        </is>
      </c>
      <c r="Q43" s="6" t="inlineStr">
        <is>
          <t>https://doi.org/10.1016/j.engstruct.2025.121810 | https://doi.org/10.1016/j.engstruct.2025.120154</t>
        </is>
      </c>
    </row>
    <row r="44" ht="37" customHeight="1">
      <c r="A44" s="5" t="inlineStr">
        <is>
          <t>UHPC_043</t>
        </is>
      </c>
      <c r="B44" s="5" t="inlineStr">
        <is>
          <t>P6_HSS_CONDITIONAL</t>
        </is>
      </c>
      <c r="C44" s="5" t="inlineStr">
        <is>
          <t>B10</t>
        </is>
      </c>
      <c r="D44" s="5" t="inlineStr">
        <is>
          <t>T_BEST_LOCKED</t>
        </is>
      </c>
      <c r="E44" s="5" t="inlineStr">
        <is>
          <t>C_BEST_LOCKED</t>
        </is>
      </c>
      <c r="F44" s="5" t="n">
        <v>20</v>
      </c>
      <c r="G44" s="5" t="n">
        <v>55</v>
      </c>
      <c r="H44" s="5" t="n">
        <v>3</v>
      </c>
      <c r="I44" s="5" t="n">
        <v>0.1</v>
      </c>
      <c r="J44" s="5" t="n">
        <v>0.6666666666666666</v>
      </c>
      <c r="K44" s="5" t="n">
        <v>0</v>
      </c>
      <c r="L44" s="5" t="inlineStr">
        <is>
          <t>HSS_PERFECT_PLASTIC</t>
        </is>
      </c>
      <c r="M44" s="7" t="inlineStr">
        <is>
          <t>HOLD_NEEDS_STEEL_HARDENING</t>
        </is>
      </c>
      <c r="N44" s="5" t="inlineStr">
        <is>
          <t>HSS law only</t>
        </is>
      </c>
      <c r="O44" s="5" t="inlineStr">
        <is>
          <t>Diagnostic vs measured/defensible hardening law; NOT approved until strain-hardening law is evidenced</t>
        </is>
      </c>
      <c r="P44" s="5" t="inlineStr">
        <is>
          <t>PLANNED_NOT_RUN</t>
        </is>
      </c>
      <c r="Q44" s="5" t="inlineStr">
        <is>
          <t>https://doi.org/10.1016/j.engstruct.2025.121810 | https://doi.org/10.1016/j.engstruct.2025.120154</t>
        </is>
      </c>
    </row>
    <row r="45" ht="37" customHeight="1">
      <c r="A45" s="6" t="inlineStr">
        <is>
          <t>UHPC_044</t>
        </is>
      </c>
      <c r="B45" s="6" t="inlineStr">
        <is>
          <t>P6_HSS_CONDITIONAL</t>
        </is>
      </c>
      <c r="C45" s="6" t="inlineStr">
        <is>
          <t>B12</t>
        </is>
      </c>
      <c r="D45" s="6" t="inlineStr">
        <is>
          <t>T_BEST_LOCKED</t>
        </is>
      </c>
      <c r="E45" s="6" t="inlineStr">
        <is>
          <t>C_BEST_LOCKED</t>
        </is>
      </c>
      <c r="F45" s="6" t="n">
        <v>20</v>
      </c>
      <c r="G45" s="6" t="n">
        <v>55</v>
      </c>
      <c r="H45" s="6" t="n">
        <v>3</v>
      </c>
      <c r="I45" s="6" t="n">
        <v>0.1</v>
      </c>
      <c r="J45" s="6" t="n">
        <v>0.6666666666666666</v>
      </c>
      <c r="K45" s="6" t="n">
        <v>0</v>
      </c>
      <c r="L45" s="6" t="inlineStr">
        <is>
          <t>HSS_PERFECT_PLASTIC</t>
        </is>
      </c>
      <c r="M45" s="8" t="inlineStr">
        <is>
          <t>HOLD_NEEDS_STEEL_HARDENING</t>
        </is>
      </c>
      <c r="N45" s="6" t="inlineStr">
        <is>
          <t>HSS law only</t>
        </is>
      </c>
      <c r="O45" s="6" t="inlineStr">
        <is>
          <t>Diagnostic vs measured/defensible hardening law; NOT approved until strain-hardening law is evidenced</t>
        </is>
      </c>
      <c r="P45" s="6" t="inlineStr">
        <is>
          <t>PLANNED_NOT_RUN</t>
        </is>
      </c>
      <c r="Q45" s="6" t="inlineStr">
        <is>
          <t>https://doi.org/10.1016/j.engstruct.2025.121810 | https://doi.org/10.1016/j.engstruct.2025.120154</t>
        </is>
      </c>
    </row>
  </sheetData>
  <autoFilter ref="A1:Q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2" customWidth="1" min="3" max="3"/>
    <col width="79" customWidth="1" min="4" max="4"/>
  </cols>
  <sheetData>
    <row r="1" ht="36" customHeight="1">
      <c r="A1" s="4" t="inlineStr">
        <is>
          <t>Stage</t>
        </is>
      </c>
      <c r="B1" s="4" t="inlineStr">
        <is>
          <t>Number of planned 3D runs</t>
        </is>
      </c>
      <c r="C1" s="4" t="inlineStr">
        <is>
          <t>Execution policy</t>
        </is>
      </c>
      <c r="D1" s="4" t="inlineStr">
        <is>
          <t>Boundary / reuse</t>
        </is>
      </c>
    </row>
    <row r="2" ht="60" customHeight="1">
      <c r="A2" s="5" t="inlineStr">
        <is>
          <t>P1_TENSION_SCREEN</t>
        </is>
      </c>
      <c r="B2" s="5" t="n">
        <v>8</v>
      </c>
      <c r="C2" s="5" t="inlineStr">
        <is>
          <t>CORE</t>
        </is>
      </c>
      <c r="D2" s="5" t="inlineStr">
        <is>
          <t>4 specimens x 2 tension laws; fixed C1</t>
        </is>
      </c>
    </row>
    <row r="3" ht="60" customHeight="1">
      <c r="A3" s="6" t="inlineStr">
        <is>
          <t>P2_COMPRESSION_SCREEN</t>
        </is>
      </c>
      <c r="B3" s="6" t="n">
        <v>12</v>
      </c>
      <c r="C3" s="6" t="inlineStr">
        <is>
          <t>CORE_AFTER_GATE_1</t>
        </is>
      </c>
      <c r="D3" s="6" t="inlineStr">
        <is>
          <t>4 specimens x 3 alternative compression laws; selected T1 or T2 frozen; C1 from P1 is reused</t>
        </is>
      </c>
    </row>
    <row r="4" ht="60" customHeight="1">
      <c r="A4" s="7" t="inlineStr">
        <is>
          <t>P3_HOLDOUT_8</t>
        </is>
      </c>
      <c r="B4" s="5" t="n">
        <v>8</v>
      </c>
      <c r="C4" s="5" t="inlineStr">
        <is>
          <t>CORE_AFTER_GATE_2</t>
        </is>
      </c>
      <c r="D4" s="5" t="inlineStr">
        <is>
          <t>8 specimens x selected locked material pair; 4 screened models reused</t>
        </is>
      </c>
    </row>
    <row r="5" ht="60" customHeight="1">
      <c r="A5" s="6" t="inlineStr">
        <is>
          <t>P4_MESH_CHECK</t>
        </is>
      </c>
      <c r="B5" s="6" t="n">
        <v>6</v>
      </c>
      <c r="C5" s="6" t="inlineStr">
        <is>
          <t>CORE_AFTER_GATE_3</t>
        </is>
      </c>
      <c r="D5" s="6" t="inlineStr">
        <is>
          <t>3 specimens x 2 additional mesh levels; baseline 20mm preexisting</t>
        </is>
      </c>
    </row>
    <row r="6" ht="60" customHeight="1">
      <c r="A6" s="5" t="inlineStr">
        <is>
          <t>P5_PSI_CHECK</t>
        </is>
      </c>
      <c r="B6" s="5" t="n">
        <v>4</v>
      </c>
      <c r="C6" s="5" t="inlineStr">
        <is>
          <t>CORE_AFTER_GATE_3</t>
        </is>
      </c>
      <c r="D6" s="5" t="inlineStr">
        <is>
          <t>2 specimens x 2 alternative psi levels; 55deg baseline reused</t>
        </is>
      </c>
    </row>
    <row r="7" ht="60" customHeight="1">
      <c r="A7" s="6" t="inlineStr">
        <is>
          <t>P5_FB0_FC0_CHECK</t>
        </is>
      </c>
      <c r="B7" s="6" t="n">
        <v>4</v>
      </c>
      <c r="C7" s="6" t="inlineStr">
        <is>
          <t>CORE_AFTER_GATE_3</t>
        </is>
      </c>
      <c r="D7" s="6" t="inlineStr">
        <is>
          <t>2 specimens x 2 alternative ratio levels; 3.0 baseline reused</t>
        </is>
      </c>
    </row>
    <row r="8" ht="60" customHeight="1">
      <c r="A8" s="5" t="inlineStr">
        <is>
          <t>P6_HSS_CONDITIONAL</t>
        </is>
      </c>
      <c r="B8" s="5" t="n">
        <v>2</v>
      </c>
      <c r="C8" s="7" t="inlineStr">
        <is>
          <t>CONDITIONAL_HOLD</t>
        </is>
      </c>
      <c r="D8" s="5" t="inlineStr">
        <is>
          <t>2 HSS specimens x idealized steel alternate; require measured/defensible hardening baseline</t>
        </is>
      </c>
    </row>
    <row r="9" ht="60" customHeight="1">
      <c r="A9" s="6" t="inlineStr">
        <is>
          <t>TOTAL_CORE</t>
        </is>
      </c>
      <c r="B9" s="9" t="n">
        <v>42</v>
      </c>
      <c r="C9" s="8" t="inlineStr">
        <is>
          <t>PLANNED / NOT RUN</t>
        </is>
      </c>
      <c r="D9" s="6" t="inlineStr">
        <is>
          <t>Excludes 2 HSS conditional jobs</t>
        </is>
      </c>
    </row>
    <row r="10" ht="60" customHeight="1">
      <c r="A10" s="5" t="inlineStr">
        <is>
          <t>TOTAL_WITH_CONDITIONAL</t>
        </is>
      </c>
      <c r="B10" s="5" t="n">
        <v>44</v>
      </c>
      <c r="C10" s="7" t="inlineStr">
        <is>
          <t>PLANNED / NOT RUN</t>
        </is>
      </c>
      <c r="D10" s="7" t="inlineStr">
        <is>
          <t>2 HSS conditional jobs remain HOLD</t>
        </is>
      </c>
    </row>
    <row r="11" ht="60" customHeight="1">
      <c r="A11" s="6" t="inlineStr">
        <is>
          <t>FULL_FACTORIAL_12x2x4</t>
        </is>
      </c>
      <c r="B11" s="6" t="n">
        <v>96</v>
      </c>
      <c r="C11" s="6" t="inlineStr">
        <is>
          <t>NOT RECOMMENDED</t>
        </is>
      </c>
      <c r="D11" s="6" t="inlineStr">
        <is>
          <t>Not a required program; no complete 2x4 across all 12 specimens</t>
        </is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23" customWidth="1" min="5" max="5"/>
    <col width="17" customWidth="1" min="6" max="6"/>
    <col width="21" customWidth="1" min="7" max="7"/>
    <col width="17" customWidth="1" min="8" max="8"/>
    <col width="20" customWidth="1" min="9" max="9"/>
    <col width="39" customWidth="1" min="10" max="10"/>
    <col width="52" customWidth="1" min="11" max="11"/>
    <col width="36" customWidth="1" min="12" max="12"/>
  </cols>
  <sheetData>
    <row r="1" ht="36" customHeight="1">
      <c r="A1" s="4" t="inlineStr">
        <is>
          <t>Batch</t>
        </is>
      </c>
      <c r="B1" s="4" t="inlineStr">
        <is>
          <t>Vf (%)</t>
        </is>
      </c>
      <c r="C1" s="4" t="inlineStr">
        <is>
          <t>fc (MPa)</t>
        </is>
      </c>
      <c r="D1" s="4" t="inlineStr">
        <is>
          <t>Ec (GPa)</t>
        </is>
      </c>
      <c r="E1" s="4" t="inlineStr">
        <is>
          <t>eps_cp (fraction)</t>
        </is>
      </c>
      <c r="F1" s="4" t="inlineStr">
        <is>
          <t>ft_cr (MPa)</t>
        </is>
      </c>
      <c r="G1" s="4" t="inlineStr">
        <is>
          <t>eps_t_cr (fraction)</t>
        </is>
      </c>
      <c r="H1" s="4" t="inlineStr">
        <is>
          <t>ft_loc (MPa)</t>
        </is>
      </c>
      <c r="I1" s="4" t="inlineStr">
        <is>
          <t>eps_t_loc (fraction)</t>
        </is>
      </c>
      <c r="J1" s="4" t="inlineStr">
        <is>
          <t>Nominal compressive inelastic at peak</t>
        </is>
      </c>
      <c r="K1" s="4" t="inlineStr">
        <is>
          <t>Source</t>
        </is>
      </c>
      <c r="L1" s="4" t="inlineStr">
        <is>
          <t>Flag</t>
        </is>
      </c>
    </row>
    <row r="2" ht="60" customHeight="1">
      <c r="A2" s="5" t="n">
        <v>1</v>
      </c>
      <c r="B2" s="5" t="n">
        <v>2</v>
      </c>
      <c r="C2" s="5" t="n">
        <v>152.8</v>
      </c>
      <c r="D2" s="5" t="n">
        <v>46</v>
      </c>
      <c r="E2" s="10" t="n">
        <v>0.0035</v>
      </c>
      <c r="F2" s="5" t="n">
        <v>9</v>
      </c>
      <c r="G2" s="10" t="n">
        <v>0.0016</v>
      </c>
      <c r="H2" s="5" t="n">
        <v>10</v>
      </c>
      <c r="I2" s="10" t="n">
        <v>0.005</v>
      </c>
      <c r="J2" s="11">
        <f>E2-C2/(D2*1000)</f>
        <v/>
      </c>
      <c r="K2" s="5" t="inlineStr">
        <is>
          <t>https://doi.org/10.1016/j.engstruct.2025.121810</t>
        </is>
      </c>
      <c r="L2" s="12">
        <f>IF(J2&lt;0,"REVIEW_NEGATIVE_INELASTIC","CHECK")</f>
        <v/>
      </c>
    </row>
    <row r="3" ht="60" customHeight="1">
      <c r="A3" s="6" t="n">
        <v>2</v>
      </c>
      <c r="B3" s="6" t="n">
        <v>2</v>
      </c>
      <c r="C3" s="6" t="n">
        <v>153.2</v>
      </c>
      <c r="D3" s="6" t="n">
        <v>47.3</v>
      </c>
      <c r="E3" s="13" t="n">
        <v>0.0032</v>
      </c>
      <c r="F3" s="6" t="n">
        <v>8.800000000000001</v>
      </c>
      <c r="G3" s="13" t="n">
        <v>0.0015</v>
      </c>
      <c r="H3" s="6" t="n">
        <v>9.300000000000001</v>
      </c>
      <c r="I3" s="13" t="n">
        <v>0.005</v>
      </c>
      <c r="J3" s="14">
        <f>E3-C3/(D3*1000)</f>
        <v/>
      </c>
      <c r="K3" s="6" t="inlineStr">
        <is>
          <t>https://doi.org/10.1016/j.engstruct.2025.121810</t>
        </is>
      </c>
      <c r="L3" s="15">
        <f>IF(J3&lt;0,"REVIEW_NEGATIVE_INELASTIC","CHECK")</f>
        <v/>
      </c>
    </row>
    <row r="4" ht="60" customHeight="1">
      <c r="A4" s="5" t="n">
        <v>3</v>
      </c>
      <c r="B4" s="5" t="n">
        <v>1</v>
      </c>
      <c r="C4" s="5" t="n">
        <v>166.4</v>
      </c>
      <c r="D4" s="5" t="n">
        <v>45.4</v>
      </c>
      <c r="E4" s="10" t="n">
        <v>0.004</v>
      </c>
      <c r="F4" s="5" t="n">
        <v>6</v>
      </c>
      <c r="G4" s="10" t="n">
        <v>0.001</v>
      </c>
      <c r="H4" s="5" t="n">
        <v>7.5</v>
      </c>
      <c r="I4" s="10" t="n">
        <v>0.0027</v>
      </c>
      <c r="J4" s="11">
        <f>E4-C4/(D4*1000)</f>
        <v/>
      </c>
      <c r="K4" s="5" t="inlineStr">
        <is>
          <t>https://doi.org/10.1016/j.engstruct.2025.121810</t>
        </is>
      </c>
      <c r="L4" s="12">
        <f>IF(J4&lt;0,"REVIEW_NEGATIVE_INELASTIC","CHECK")</f>
        <v/>
      </c>
    </row>
  </sheetData>
  <autoFilter ref="A1:L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2" customWidth="1" min="2" max="2"/>
    <col width="19" customWidth="1" min="3" max="3"/>
  </cols>
  <sheetData>
    <row r="1" ht="36" customHeight="1">
      <c r="A1" s="4" t="inlineStr">
        <is>
          <t>Gate</t>
        </is>
      </c>
      <c r="B1" s="4" t="inlineStr">
        <is>
          <t>Required evidence / conditions</t>
        </is>
      </c>
      <c r="C1" s="4" t="inlineStr">
        <is>
          <t>Decision</t>
        </is>
      </c>
    </row>
    <row r="2" ht="60" customHeight="1">
      <c r="A2" s="5" t="inlineStr">
        <is>
          <t>GATE_0</t>
        </is>
      </c>
      <c r="B2" s="5" t="inlineStr">
        <is>
          <t>Article Fig 1 geometry support, steel bar ambiguity, 3 batches data audited; 3 constituent CDP input files consistent; unit conversion validated</t>
        </is>
      </c>
      <c r="C2" s="7" t="inlineStr">
        <is>
          <t>HOLD</t>
        </is>
      </c>
    </row>
    <row r="3" ht="60" customHeight="1">
      <c r="A3" s="6" t="inlineStr">
        <is>
          <t>GATE_1</t>
        </is>
      </c>
      <c r="B3" s="6" t="inlineStr">
        <is>
          <t>Four pilot beams run under C1 with T1/T2, evaluate curve shape peak, crack localization and failure mode; choose and freeze one tension law</t>
        </is>
      </c>
      <c r="C3" s="8" t="inlineStr">
        <is>
          <t>HOLD</t>
        </is>
      </c>
    </row>
    <row r="4" ht="60" customHeight="1">
      <c r="A4" s="5" t="inlineStr">
        <is>
          <t>GATE_2</t>
        </is>
      </c>
      <c r="B4" s="5" t="inlineStr">
        <is>
          <t>Compare four compression law options on same four pilot beams with T_BEST; lock a single global constitutive-law type and batch-specific inputs</t>
        </is>
      </c>
      <c r="C4" s="7" t="inlineStr">
        <is>
          <t>HOLD</t>
        </is>
      </c>
    </row>
    <row r="5" ht="60" customHeight="1">
      <c r="A5" s="6" t="inlineStr">
        <is>
          <t>GATE_3</t>
        </is>
      </c>
      <c r="B5" s="6" t="inlineStr">
        <is>
          <t>Run eight untouched holdout specimens. Report same-study held-out error, not external validation. No tuning to holdout.</t>
        </is>
      </c>
      <c r="C5" s="8" t="inlineStr">
        <is>
          <t>HOLD</t>
        </is>
      </c>
    </row>
    <row r="6" ht="60" customHeight="1">
      <c r="A6" s="5" t="inlineStr">
        <is>
          <t>GATE_4</t>
        </is>
      </c>
      <c r="B6" s="5" t="inlineStr">
        <is>
          <t>Check mesh / hourglass / artificial energy / shear localization for B02 B08 B12 at h 15 20 30; test objectivity</t>
        </is>
      </c>
      <c r="C6" s="7" t="inlineStr">
        <is>
          <t>HOLD</t>
        </is>
      </c>
    </row>
    <row r="7" ht="60" customHeight="1">
      <c r="A7" s="6" t="inlineStr">
        <is>
          <t>GATE_5</t>
        </is>
      </c>
      <c r="B7" s="6" t="inlineStr">
        <is>
          <t>Sensitivity psi and fb0/fc0 using independently fixed constitutive law; do not select solely to optimize peak</t>
        </is>
      </c>
      <c r="C7" s="8" t="inlineStr">
        <is>
          <t>HOLD</t>
        </is>
      </c>
    </row>
    <row r="8" ht="60" customHeight="1">
      <c r="A8" s="5" t="inlineStr">
        <is>
          <t>GATE_6</t>
        </is>
      </c>
      <c r="B8" s="5" t="inlineStr">
        <is>
          <t>Optional HSS steel law test only with defensible post-yield strain measurements or explicit bounded assumptions</t>
        </is>
      </c>
      <c r="C8" s="7" t="inlineStr">
        <is>
          <t>HOLD</t>
        </is>
      </c>
    </row>
    <row r="9" ht="60" customHeight="1">
      <c r="A9" s="6" t="inlineStr">
        <is>
          <t>REQUIRED OUTPUT</t>
        </is>
      </c>
      <c r="B9" s="6" t="inlineStr">
        <is>
          <t>reaction RF vs deflection at actual gauges; peak V; delta_peak; stiffness; damage/crack location; compression strut damage; energy histories; mesh diagnostics</t>
        </is>
      </c>
      <c r="C9" s="8" t="inlineStr">
        <is>
          <t>HOLD</t>
        </is>
      </c>
    </row>
    <row r="10" ht="60" customHeight="1">
      <c r="A10" s="5" t="inlineStr">
        <is>
          <t>NO AUTOMATIC SUBMIT</t>
        </is>
      </c>
      <c r="B10" s="5" t="inlineStr">
        <is>
          <t>Register is a plan; Abaqus jobs have not been created/submitted. Any release requires source/rebar/support reconciliation.</t>
        </is>
      </c>
      <c r="C10" s="7" t="inlineStr">
        <is>
          <t>HOLD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2026-10-16T15:56:32Z</dcterms:created>
  <dcterms:modified xmlns:dcterms="http://purl.org/dc/terms/" xmlns:xsi="http://www.w3.org/2001/XMLSchema-instance" xsi:type="dcterms:W3CDTF">2026-10-16T15:56:32Z</dcterms:modified>
</cp:coreProperties>
</file>